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ổng quan" sheetId="1" state="visible" r:id="rId3"/>
    <sheet name="Roles" sheetId="2" state="visible" r:id="rId4"/>
    <sheet name="FR" sheetId="3" state="visible" r:id="rId5"/>
    <sheet name="UC" sheetId="4" state="visible" r:id="rId6"/>
    <sheet name="Sprint" sheetId="5" state="visible" r:id="rId7"/>
    <sheet name="Effort" sheetId="6" state="visible" r:id="rId8"/>
    <sheet name="Rủi ro-Câu hỏi" sheetId="7" state="visible" r:id="rId9"/>
  </sheets>
  <definedNames>
    <definedName function="false" hidden="true" localSheetId="2" name="_xlnm._FilterDatabase" vbProcedure="false">FR!$A$3:$Q$98</definedName>
    <definedName function="false" hidden="true" localSheetId="3" name="_xlnm._FilterDatabase" vbProcedure="false">UC!$A$3:$K$25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<sst xmlns="http://schemas.openxmlformats.org/spreadsheetml/2006/main" count="1501" uniqueCount="735">
  <si>
    <t xml:space="preserve">NỀN TẢNG PHIM NGẮN AI — TÀI LIỆU YÊU CẦU &amp; KẾ HOẠCH 8 SPRINT</t>
  </si>
  <si>
    <t xml:space="preserve">Bản nháp phục vụ họp khách hàng · Ước lượng sơ bộ (±30%) · Cần tinh chỉnh sau buổi discovery</t>
  </si>
  <si>
    <t xml:space="preserve">1. MỤC TIÊU DỰ ÁN</t>
  </si>
  <si>
    <t xml:space="preserve">Xây website cho phép: (1) xưởng phim tạo phim AI ngắn/dài (2–30 phút, có thể tới 60 phút) qua một quy trình khép kín; (2) khách xem short quảng bá trên TikTok/Facebook, bấm vào website và mua lẻ phim hoặc đăng ký gói; (3) đầy đủ Admin, phân quyền vai trò, thanh toán, analytics.</t>
  </si>
  <si>
    <t xml:space="preserve">2. PHẠM VI &amp; GIẢ ĐỊNH (cần khách xác nhận)</t>
  </si>
  <si>
    <t xml:space="preserve">• Phim AI được tạo bằng API bên thứ ba (Veo/Kling/Runway/Luma/... + LLM + TTS) qua lớp adapter — KHÔNG tự huấn luyện model.</t>
  </si>
  <si>
    <t xml:space="preserve">• Người tạo phim là đội Creator/studio nội bộ của khách. Cho khách cuối tự tạo phim (UGC) nằm ở Backlog (FR-AIV-21).</t>
  </si>
  <si>
    <t xml:space="preserve">• Nền tảng web responsive (mobile-first), chưa có app native. Ngôn ngữ giao diện: tiếng Việt.</t>
  </si>
  <si>
    <t xml:space="preserve">• Thanh toán nội địa (VNPay/MoMo/PayOS/VietQR) trong 8 tuần; Stripe và thẻ quốc tế ở Backlog. Thủ tục đăng ký merchant do khách chuẩn bị sớm.</t>
  </si>
  <si>
    <t xml:space="preserve">• Đăng tự động lên TikTok/Facebook cần app review của nền tảng → Backlog; trong phạm vi chỉ có landing page + tracking + Pixel/CAPI.</t>
  </si>
  <si>
    <t xml:space="preserve">• Phim dài được ghép từ nhiều cảnh 5–10 giây; chi phí API AI và hạ tầng KHÔNG nằm trong estimate man-day.</t>
  </si>
  <si>
    <t xml:space="preserve">• 'Ưu tiên' theo MoSCoW. Chức năng Should/Could chưa xếp sprint được đặt ở Backlog (Phase 2) vì năng lực 3 dev chỉ đủ MVP.</t>
  </si>
  <si>
    <t xml:space="preserve">• Sprint = 1 tuần (T2–T6). Chưa gán người; sprint nào vượt năng lực sẽ được cảnh báo ở sheet 'Sprint'.</t>
  </si>
  <si>
    <t xml:space="preserve">3. ĐỘI NGŨ &amp; THAM SỐ KẾ HOẠCH (ô vàng = có thể sửa)</t>
  </si>
  <si>
    <t xml:space="preserve">Ngày bắt đầu Sprint 1</t>
  </si>
  <si>
    <t xml:space="preserve">Thứ Hai; sửa để tự dời toàn bộ lịch</t>
  </si>
  <si>
    <t xml:space="preserve">Ngày làm việc / sprint</t>
  </si>
  <si>
    <t xml:space="preserve">Số dev (Backend, Frontend, AI)</t>
  </si>
  <si>
    <t xml:space="preserve">Dùng chung 1 pool nên FE/BE/AI có thể hỗ trợ nhau</t>
  </si>
  <si>
    <t xml:space="preserve">Hệ số hiệu dụng của dev</t>
  </si>
  <si>
    <t xml:space="preserve">Trừ họp, review, gián đoạn</t>
  </si>
  <si>
    <t xml:space="preserve">Số lead (BA + Tester + Team Lead)</t>
  </si>
  <si>
    <t xml:space="preserve">Hệ số hiệu dụng của lead cho BA+QA</t>
  </si>
  <si>
    <t xml:space="preserve">Phần còn lại dành cho quản lý team/làm việc với khách</t>
  </si>
  <si>
    <t xml:space="preserve">Đơn giá / man-day (VND)</t>
  </si>
  <si>
    <t xml:space="preserve">Nhập để tính chi phí ở sheet 'Effort'; để trống thì không tính</t>
  </si>
  <si>
    <t xml:space="preserve">Năng lực dev / sprint (man-day)</t>
  </si>
  <si>
    <t xml:space="preserve">Năng lực lead / sprint (man-day)</t>
  </si>
  <si>
    <t xml:space="preserve">4. SỐ LIỆU CHÍNH (tự tính từ sheet FR)</t>
  </si>
  <si>
    <t xml:space="preserve">Tổng số FR</t>
  </si>
  <si>
    <t xml:space="preserve">FR trong 8 sprint (MVP)</t>
  </si>
  <si>
    <t xml:space="preserve">FR ở Backlog (Phase 2)</t>
  </si>
  <si>
    <t xml:space="preserve">Tổng số Use Case</t>
  </si>
  <si>
    <t xml:space="preserve">Man-day trong 8 sprint (tất cả vai trò)</t>
  </si>
  <si>
    <t xml:space="preserve">Man-day của Backlog (Phase 2)</t>
  </si>
  <si>
    <t xml:space="preserve">Tổng năng lực dev 8 sprint</t>
  </si>
  <si>
    <t xml:space="preserve">Dev đã lập kế hoạch / năng lực</t>
  </si>
  <si>
    <t xml:space="preserve">5. CHÚ GIẢI</t>
  </si>
  <si>
    <t xml:space="preserve">Chữ xanh dương / ô vàng: giá trị nhập tay (ước lượng, tham số). Chữ đen: công thức.</t>
  </si>
  <si>
    <t xml:space="preserve">MoSCoW: Must = bắt buộc cho MVP · Should = quan trọng, làm nếu còn năng lực · Could = mong muốn, để Phase 2.</t>
  </si>
  <si>
    <t xml:space="preserve">Vai trò trong ước lượng: BA (phân tích/tài liệu), BE (backend), FE (frontend), AI (pipeline &amp; tích hợp AI), QA (kiểm thử). Đơn vị: man-day.</t>
  </si>
  <si>
    <t xml:space="preserve">Các sheet: Roles · FR · UC · Sprint · Effort · Rủi ro-Câu hỏi.</t>
  </si>
  <si>
    <t xml:space="preserve">VAI TRÒ &amp; MA TRẬN PHÂN QUYỀN (RBAC)</t>
  </si>
  <si>
    <t xml:space="preserve">C = Tạo · R = Xem · U = Sửa · D = Xóa · A = Duyệt/Xuất bản · — = không có quyền</t>
  </si>
  <si>
    <t xml:space="preserve">Vai trò</t>
  </si>
  <si>
    <t xml:space="preserve">Mô tả</t>
  </si>
  <si>
    <t xml:space="preserve">Xem &amp; mua phim</t>
  </si>
  <si>
    <t xml:space="preserve">Hồ sơ cá nhân</t>
  </si>
  <si>
    <t xml:space="preserve">Catalog (phim/tập/giá)</t>
  </si>
  <si>
    <t xml:space="preserve">AI Studio (tạo phim)</t>
  </si>
  <si>
    <t xml:space="preserve">Kiểm duyệt</t>
  </si>
  <si>
    <t xml:space="preserve">Chiến dịch &amp; Analytics</t>
  </si>
  <si>
    <t xml:space="preserve">Đơn hàng &amp; tài chính</t>
  </si>
  <si>
    <t xml:space="preserve">Người dùng &amp; phân quyền</t>
  </si>
  <si>
    <t xml:space="preserve">Cấu hình hệ thống</t>
  </si>
  <si>
    <t xml:space="preserve">Audit log</t>
  </si>
  <si>
    <t xml:space="preserve">Guest</t>
  </si>
  <si>
    <t xml:space="preserve">Khách chưa đăng nhập, xem landing/trailer</t>
  </si>
  <si>
    <t xml:space="preserve">R (preview)</t>
  </si>
  <si>
    <t xml:space="preserve">—</t>
  </si>
  <si>
    <t xml:space="preserve">R</t>
  </si>
  <si>
    <t xml:space="preserve">User</t>
  </si>
  <si>
    <t xml:space="preserve">Đã đăng ký, mua lẻ</t>
  </si>
  <si>
    <t xml:space="preserve">R + mua</t>
  </si>
  <si>
    <t xml:space="preserve">CRUD (của mình)</t>
  </si>
  <si>
    <t xml:space="preserve">R (của mình)</t>
  </si>
  <si>
    <t xml:space="preserve">Subscriber</t>
  </si>
  <si>
    <t xml:space="preserve">User có gói còn hạn</t>
  </si>
  <si>
    <t xml:space="preserve">R (theo gói)</t>
  </si>
  <si>
    <t xml:space="preserve">Creator / Editor</t>
  </si>
  <si>
    <t xml:space="preserve">Tạo phim AI</t>
  </si>
  <si>
    <t xml:space="preserve">CRUD (dự án của mình)</t>
  </si>
  <si>
    <t xml:space="preserve">Content Manager</t>
  </si>
  <si>
    <t xml:space="preserve">Quản lý catalog, duyệt xuất bản</t>
  </si>
  <si>
    <t xml:space="preserve">CRUD + A</t>
  </si>
  <si>
    <t xml:space="preserve">R + A</t>
  </si>
  <si>
    <t xml:space="preserve">Moderator</t>
  </si>
  <si>
    <t xml:space="preserve">Kiểm duyệt nội dung AI/UGC</t>
  </si>
  <si>
    <t xml:space="preserve">Marketing</t>
  </si>
  <si>
    <t xml:space="preserve">Chiến dịch, tracking, báo cáo</t>
  </si>
  <si>
    <t xml:space="preserve">CRUD</t>
  </si>
  <si>
    <t xml:space="preserve">Finance</t>
  </si>
  <si>
    <t xml:space="preserve">Đối soát, hoàn tiền</t>
  </si>
  <si>
    <t xml:space="preserve">R + hoàn tiền</t>
  </si>
  <si>
    <t xml:space="preserve">Support</t>
  </si>
  <si>
    <t xml:space="preserve">Hỗ trợ khách</t>
  </si>
  <si>
    <t xml:space="preserve">R (giới hạn)</t>
  </si>
  <si>
    <t xml:space="preserve">Admin</t>
  </si>
  <si>
    <t xml:space="preserve">Quản trị vận hành</t>
  </si>
  <si>
    <t xml:space="preserve">A</t>
  </si>
  <si>
    <t xml:space="preserve">CRUD (trừ Super Admin)</t>
  </si>
  <si>
    <t xml:space="preserve">U</t>
  </si>
  <si>
    <t xml:space="preserve">Super Admin</t>
  </si>
  <si>
    <t xml:space="preserve">Toàn quyền, quản lý vai trò</t>
  </si>
  <si>
    <t xml:space="preserve">DANH SÁCH YÊU CẦU CHỨC NĂNG (FR) &amp; ƯỚC LƯỢNG MAN-DAY</t>
  </si>
  <si>
    <t xml:space="preserve">TỔNG (theo bộ lọc)</t>
  </si>
  <si>
    <t xml:space="preserve">ID</t>
  </si>
  <si>
    <t xml:space="preserve">Module</t>
  </si>
  <si>
    <t xml:space="preserve">Tên chức năng</t>
  </si>
  <si>
    <t xml:space="preserve">Actor</t>
  </si>
  <si>
    <t xml:space="preserve">Ưu tiên</t>
  </si>
  <si>
    <t xml:space="preserve">Sprint</t>
  </si>
  <si>
    <t xml:space="preserve">BA</t>
  </si>
  <si>
    <t xml:space="preserve">BE</t>
  </si>
  <si>
    <t xml:space="preserve">FE</t>
  </si>
  <si>
    <t xml:space="preserve">AI</t>
  </si>
  <si>
    <t xml:space="preserve">QA</t>
  </si>
  <si>
    <t xml:space="preserve">Tổng (md)</t>
  </si>
  <si>
    <t xml:space="preserve">Dev (BE+FE+AI)</t>
  </si>
  <si>
    <t xml:space="preserve">UC liên quan</t>
  </si>
  <si>
    <t xml:space="preserve">Trạng thái</t>
  </si>
  <si>
    <t xml:space="preserve">Ghi chú</t>
  </si>
  <si>
    <t xml:space="preserve">FR-SYS-01</t>
  </si>
  <si>
    <t xml:space="preserve">SYS · Nền tảng &amp; hạ tầng</t>
  </si>
  <si>
    <t xml:space="preserve">Khởi tạo repo, môi trường &amp; CI/CD</t>
  </si>
  <si>
    <t xml:space="preserve">Monorepo/2 repo, Docker, môi trường dev/staging/prod, pipeline build-test-deploy tự động.</t>
  </si>
  <si>
    <t xml:space="preserve">Dev team</t>
  </si>
  <si>
    <t xml:space="preserve">Must</t>
  </si>
  <si>
    <t xml:space="preserve">S1</t>
  </si>
  <si>
    <t xml:space="preserve">Đề xuất</t>
  </si>
  <si>
    <t xml:space="preserve">FR-SYS-02</t>
  </si>
  <si>
    <t xml:space="preserve">Thiết kế CSDL &amp; migration</t>
  </si>
  <si>
    <t xml:space="preserve">ERD lõi: user, role, film, episode, order, subscription, entitlement, ai_project, ai_job, asset...</t>
  </si>
  <si>
    <t xml:space="preserve">FR-SYS-03</t>
  </si>
  <si>
    <t xml:space="preserve">Design system &amp; UI kit responsive</t>
  </si>
  <si>
    <t xml:space="preserve">Theme tối, component dùng chung, layout mobile-first (khách vào từ TikTok/FB chủ yếu trên điện thoại).</t>
  </si>
  <si>
    <t xml:space="preserve">FR-SYS-04</t>
  </si>
  <si>
    <t xml:space="preserve">Trang pháp lý &amp; phân loại độ tuổi</t>
  </si>
  <si>
    <t xml:space="preserve">Điều khoản, chính sách bảo mật, hoàn tiền, DMCA, cookie consent, cảnh báo/nhãn độ tuổi.</t>
  </si>
  <si>
    <t xml:space="preserve">Khách</t>
  </si>
  <si>
    <t xml:space="preserve">S4</t>
  </si>
  <si>
    <t xml:space="preserve">FR-SYS-05</t>
  </si>
  <si>
    <t xml:space="preserve">Giám sát, log &amp; cảnh báo</t>
  </si>
  <si>
    <t xml:space="preserve">Log tập trung, error tracking, uptime, alert khi job AI/thanh toán lỗi.</t>
  </si>
  <si>
    <t xml:space="preserve">Should</t>
  </si>
  <si>
    <t xml:space="preserve">Backlog</t>
  </si>
  <si>
    <t xml:space="preserve">Phase 2 — ngoài 8 sprint</t>
  </si>
  <si>
    <t xml:space="preserve">FR-SYS-06</t>
  </si>
  <si>
    <t xml:space="preserve">SEO &amp; hiệu năng web</t>
  </si>
  <si>
    <t xml:space="preserve">Meta/OG, sitemap, lazy-load, Lighthouse cho trang phim/landing.</t>
  </si>
  <si>
    <t xml:space="preserve">FR-SYS-07</t>
  </si>
  <si>
    <t xml:space="preserve">Bảo mật &amp; backup</t>
  </si>
  <si>
    <t xml:space="preserve">OWASP Top 10, rate-limit, CORS/CSRF, mã hóa dữ liệu nhạy cảm, backup DB &amp; storage định kỳ.</t>
  </si>
  <si>
    <t xml:space="preserve">S8</t>
  </si>
  <si>
    <t xml:space="preserve">FR-SYS-08</t>
  </si>
  <si>
    <t xml:space="preserve">Kiểm thử hiệu năng</t>
  </si>
  <si>
    <t xml:space="preserve">Load test streaming, checkout, hàng đợi job AI.</t>
  </si>
  <si>
    <t xml:space="preserve">FR-SYS-09</t>
  </si>
  <si>
    <t xml:space="preserve">UAT cùng khách &amp; sửa lỗi</t>
  </si>
  <si>
    <t xml:space="preserve">Phiên UAT, ghi nhận &amp; sửa lỗi, chốt nghiệm thu.</t>
  </si>
  <si>
    <t xml:space="preserve">BA/Khách</t>
  </si>
  <si>
    <t xml:space="preserve">FR-SYS-10</t>
  </si>
  <si>
    <t xml:space="preserve">Tài liệu &amp; bàn giao vận hành</t>
  </si>
  <si>
    <t xml:space="preserve">Tài liệu người dùng/admin/kỹ thuật, hướng dẫn deploy, đào tạo.</t>
  </si>
  <si>
    <t xml:space="preserve">FR-SYS-11</t>
  </si>
  <si>
    <t xml:space="preserve">Đa ngôn ngữ giao diện (vi/en)</t>
  </si>
  <si>
    <t xml:space="preserve">i18n toàn bộ giao diện.</t>
  </si>
  <si>
    <t xml:space="preserve">Could</t>
  </si>
  <si>
    <t xml:space="preserve">FR-AUTH-01</t>
  </si>
  <si>
    <t xml:space="preserve">AUTH · Tài khoản &amp; xác thực</t>
  </si>
  <si>
    <t xml:space="preserve">Đăng ký tài khoản</t>
  </si>
  <si>
    <t xml:space="preserve">Đăng ký email + mật khẩu, xác thực email, điều khoản.</t>
  </si>
  <si>
    <t xml:space="preserve">UC-02</t>
  </si>
  <si>
    <t xml:space="preserve">FR-AUTH-02</t>
  </si>
  <si>
    <t xml:space="preserve">Đăng nhập / đăng xuất</t>
  </si>
  <si>
    <t xml:space="preserve">JWT access + refresh token, ghi nhớ đăng nhập, khóa tạm khi sai nhiều lần.</t>
  </si>
  <si>
    <t xml:space="preserve">Guest/User</t>
  </si>
  <si>
    <t xml:space="preserve">UC-03</t>
  </si>
  <si>
    <t xml:space="preserve">FR-AUTH-03</t>
  </si>
  <si>
    <t xml:space="preserve">Quên / đặt lại mật khẩu</t>
  </si>
  <si>
    <t xml:space="preserve">Gửi link đặt lại có hạn dùng qua email.</t>
  </si>
  <si>
    <t xml:space="preserve">S2</t>
  </si>
  <si>
    <t xml:space="preserve">FR-AUTH-04</t>
  </si>
  <si>
    <t xml:space="preserve">Đăng nhập Google / Facebook</t>
  </si>
  <si>
    <t xml:space="preserve">OAuth social login, liên kết với tài khoản email sẵn có.</t>
  </si>
  <si>
    <t xml:space="preserve">FR-AUTH-05</t>
  </si>
  <si>
    <t xml:space="preserve">Cập nhật tên, avatar, đổi mật khẩu, xóa tài khoản.</t>
  </si>
  <si>
    <t xml:space="preserve">FR-AUTH-06</t>
  </si>
  <si>
    <t xml:space="preserve">Giới hạn thiết bị &amp; phiên đăng nhập</t>
  </si>
  <si>
    <t xml:space="preserve">Giới hạn số thiết bị xem đồng thời, chống share tài khoản.</t>
  </si>
  <si>
    <t xml:space="preserve">FR-AUTH-07</t>
  </si>
  <si>
    <t xml:space="preserve">Đăng nhập OTP SĐT / Zalo</t>
  </si>
  <si>
    <t xml:space="preserve">Xác thực bằng số điện thoại.</t>
  </si>
  <si>
    <t xml:space="preserve">FR-ADM-01</t>
  </si>
  <si>
    <t xml:space="preserve">ADM · Admin &amp; phân quyền</t>
  </si>
  <si>
    <t xml:space="preserve">Mô hình vai trò &amp; quyền (RBAC)</t>
  </si>
  <si>
    <t xml:space="preserve">Vai trò: Super Admin, Admin, Content Manager, Creator, Moderator, Marketing, Finance, Support, User. Guard ở API &amp; UI.</t>
  </si>
  <si>
    <t xml:space="preserve">UC-20</t>
  </si>
  <si>
    <t xml:space="preserve">FR-ADM-02</t>
  </si>
  <si>
    <t xml:space="preserve">Quản lý người dùng</t>
  </si>
  <si>
    <t xml:space="preserve">Danh sách/tìm kiếm, khóa/mở khóa, đổi vai trò, xem lịch sử mua.</t>
  </si>
  <si>
    <t xml:space="preserve">FR-ADM-03</t>
  </si>
  <si>
    <t xml:space="preserve">Ma trận phân quyền động</t>
  </si>
  <si>
    <t xml:space="preserve">Giao diện tạo vai trò tùy chỉnh và gán permission theo chức năng.</t>
  </si>
  <si>
    <t xml:space="preserve">FR-ADM-04</t>
  </si>
  <si>
    <t xml:space="preserve">Ghi lại hành động nhạy cảm (đổi giá, xuất bản, hoàn tiền, đổi quyền); lọc &amp; xem.</t>
  </si>
  <si>
    <t xml:space="preserve">UC-15, UC-20</t>
  </si>
  <si>
    <t xml:space="preserve">FR-ADM-05</t>
  </si>
  <si>
    <t xml:space="preserve">Dashboard tổng quan</t>
  </si>
  <si>
    <t xml:space="preserve">Doanh thu, user mới, lượt xem, tỉ lệ chuyển đổi, job AI đang chạy.</t>
  </si>
  <si>
    <t xml:space="preserve">S7</t>
  </si>
  <si>
    <t xml:space="preserve">UC-19, UC-21</t>
  </si>
  <si>
    <t xml:space="preserve">FR-ADM-06</t>
  </si>
  <si>
    <t xml:space="preserve">Giá credit, banner, provider AI, SMTP, cấu hình thanh toán.</t>
  </si>
  <si>
    <t xml:space="preserve">FR-ADM-07</t>
  </si>
  <si>
    <t xml:space="preserve">Quản lý banner &amp; curation trang chủ</t>
  </si>
  <si>
    <t xml:space="preserve">Sắp xếp banner, hàng phim nổi bật, bộ sưu tập theo chiến dịch.</t>
  </si>
  <si>
    <t xml:space="preserve">FR-ADM-08</t>
  </si>
  <si>
    <t xml:space="preserve">Quản lý ticket hỗ trợ</t>
  </si>
  <si>
    <t xml:space="preserve">Nhận &amp; xử lý khiếu nại, yêu cầu hoàn tiền.</t>
  </si>
  <si>
    <t xml:space="preserve">FR-CAT-01</t>
  </si>
  <si>
    <t xml:space="preserve">CAT · Quản lý danh mục phim</t>
  </si>
  <si>
    <t xml:space="preserve">Quản lý phim / series</t>
  </si>
  <si>
    <t xml:space="preserve">CRUD phim: tên, mô tả, poster, trailer, thể loại, tag, thời lượng, độ tuổi.</t>
  </si>
  <si>
    <t xml:space="preserve">UC-16, UC-17</t>
  </si>
  <si>
    <t xml:space="preserve">FR-CAT-02</t>
  </si>
  <si>
    <t xml:space="preserve">Quản lý mùa / tập</t>
  </si>
  <si>
    <t xml:space="preserve">Quản lý season, tập, thứ tự, video gắn với tập.</t>
  </si>
  <si>
    <t xml:space="preserve">UC-17</t>
  </si>
  <si>
    <t xml:space="preserve">FR-CAT-03</t>
  </si>
  <si>
    <t xml:space="preserve">Thể loại, tag, bộ sưu tập</t>
  </si>
  <si>
    <t xml:space="preserve">Danh mục thể loại và bộ sưu tập do admin tạo.</t>
  </si>
  <si>
    <t xml:space="preserve">FR-CAT-04</t>
  </si>
  <si>
    <t xml:space="preserve">Vòng đời xuất bản</t>
  </si>
  <si>
    <t xml:space="preserve">Draft → Scheduled → Published → Archived; lên lịch phát hành.</t>
  </si>
  <si>
    <t xml:space="preserve">S3</t>
  </si>
  <si>
    <t xml:space="preserve">UC-16</t>
  </si>
  <si>
    <t xml:space="preserve">FR-CAT-05</t>
  </si>
  <si>
    <t xml:space="preserve">Định giá &amp; mô hình bán</t>
  </si>
  <si>
    <t xml:space="preserve">Miễn phí / mua lẻ phim hoặc tập / chỉ dành cho gói; giá khuyến mãi.</t>
  </si>
  <si>
    <t xml:space="preserve">FR-CAT-06</t>
  </si>
  <si>
    <t xml:space="preserve">Phụ đề &amp; lồng tiếng đa ngôn ngữ</t>
  </si>
  <si>
    <t xml:space="preserve">Nhiều track phụ đề/âm thanh cho một phim.</t>
  </si>
  <si>
    <t xml:space="preserve">FR-CAT-07</t>
  </si>
  <si>
    <t xml:space="preserve">Đánh giá &amp; bình luận</t>
  </si>
  <si>
    <t xml:space="preserve">Rating, bình luận, báo cáo vi phạm.</t>
  </si>
  <si>
    <t xml:space="preserve">FR-MED-01</t>
  </si>
  <si>
    <t xml:space="preserve">MED · Media &amp; streaming</t>
  </si>
  <si>
    <t xml:space="preserve">Upload video lớn (resumable)</t>
  </si>
  <si>
    <t xml:space="preserve">Upload chunk/resume lên object storage, hiển thị tiến trình.</t>
  </si>
  <si>
    <t xml:space="preserve">FR-MED-02</t>
  </si>
  <si>
    <t xml:space="preserve">Transcode HLS đa bitrate</t>
  </si>
  <si>
    <t xml:space="preserve">Worker FFmpeg tạo HLS 360p–1080p, thumbnail, sprite preview.</t>
  </si>
  <si>
    <t xml:space="preserve">Hệ thống</t>
  </si>
  <si>
    <t xml:space="preserve">FR-MED-03</t>
  </si>
  <si>
    <t xml:space="preserve">Bảo vệ nội dung (signed URL)</t>
  </si>
  <si>
    <t xml:space="preserve">Signed URL/token hết hạn, chống hotlink, watermark người xem (tùy chọn).</t>
  </si>
  <si>
    <t xml:space="preserve">UC-07</t>
  </si>
  <si>
    <t xml:space="preserve">FR-MED-04</t>
  </si>
  <si>
    <t xml:space="preserve">Cấu hình CDN &amp; cache</t>
  </si>
  <si>
    <t xml:space="preserve">CDN cho HLS segment và ảnh, chính sách cache.</t>
  </si>
  <si>
    <t xml:space="preserve">FR-MED-05</t>
  </si>
  <si>
    <t xml:space="preserve">Thư viện asset</t>
  </si>
  <si>
    <t xml:space="preserve">Kho ảnh, audio, clip dùng lại giữa các dự án; gắn tag.</t>
  </si>
  <si>
    <t xml:space="preserve">Creator</t>
  </si>
  <si>
    <t xml:space="preserve">FR-PLY-01</t>
  </si>
  <si>
    <t xml:space="preserve">PLY · Storefront &amp; trình phát</t>
  </si>
  <si>
    <t xml:space="preserve">Trang chủ storefront</t>
  </si>
  <si>
    <t xml:space="preserve">Banner, hàng phim (mới, hot, theo thể loại), tiếp tục xem.</t>
  </si>
  <si>
    <t xml:space="preserve">UC-04</t>
  </si>
  <si>
    <t xml:space="preserve">FR-PLY-02</t>
  </si>
  <si>
    <t xml:space="preserve">Trang chi tiết phim</t>
  </si>
  <si>
    <t xml:space="preserve">Poster, trailer, danh sách tập, giá, nút mua / xem ngay.</t>
  </si>
  <si>
    <t xml:space="preserve">UC-01, UC-04</t>
  </si>
  <si>
    <t xml:space="preserve">FR-PLY-03</t>
  </si>
  <si>
    <t xml:space="preserve">Trình phát HLS</t>
  </si>
  <si>
    <t xml:space="preserve">Chọn chất lượng, tua, phụ đề, fullscreen, tối ưu mobile.</t>
  </si>
  <si>
    <t xml:space="preserve">UC-07, UC-08</t>
  </si>
  <si>
    <t xml:space="preserve">FR-PLY-04</t>
  </si>
  <si>
    <t xml:space="preserve">Xem trước miễn phí</t>
  </si>
  <si>
    <t xml:space="preserve">Preview 30–60 giây / tập 1 miễn phí để kéo chuyển đổi.</t>
  </si>
  <si>
    <t xml:space="preserve">FR-PLY-05</t>
  </si>
  <si>
    <t xml:space="preserve">Kiểm tra quyền xem</t>
  </si>
  <si>
    <t xml:space="preserve">Kiểm tra entitlement trước khi cấp link phát; thông báo &amp; CTA mua nếu chưa có quyền.</t>
  </si>
  <si>
    <t xml:space="preserve">FR-PLY-06</t>
  </si>
  <si>
    <t xml:space="preserve">Lưu tiến độ &amp; xem tiếp</t>
  </si>
  <si>
    <t xml:space="preserve">Lưu vị trí xem, gợi ý xem tiếp.</t>
  </si>
  <si>
    <t xml:space="preserve">UC-08</t>
  </si>
  <si>
    <t xml:space="preserve">FR-PLY-07</t>
  </si>
  <si>
    <t xml:space="preserve">Tìm kiếm &amp; lọc</t>
  </si>
  <si>
    <t xml:space="preserve">Tìm theo tên/thể loại/tag; sắp xếp.</t>
  </si>
  <si>
    <t xml:space="preserve">FR-PLY-08</t>
  </si>
  <si>
    <t xml:space="preserve">Yêu thích / xem sau</t>
  </si>
  <si>
    <t xml:space="preserve">Danh sách cá nhân.</t>
  </si>
  <si>
    <t xml:space="preserve">FR-PLY-09</t>
  </si>
  <si>
    <t xml:space="preserve">Autoplay tập kế &amp; gợi ý</t>
  </si>
  <si>
    <t xml:space="preserve">Tự chuyển tập, gợi ý phim tương tự.</t>
  </si>
  <si>
    <t xml:space="preserve">FR-SOC-01</t>
  </si>
  <si>
    <t xml:space="preserve">SOC · Social funnel &amp; marketing</t>
  </si>
  <si>
    <t xml:space="preserve">Landing page theo chiến dịch</t>
  </si>
  <si>
    <t xml:space="preserve">Trang đích deep-link từ short TikTok/FB tới phim cụ thể, tải nhanh trên mobile.</t>
  </si>
  <si>
    <t xml:space="preserve">UC-01, UC-18</t>
  </si>
  <si>
    <t xml:space="preserve">FR-SOC-02</t>
  </si>
  <si>
    <t xml:space="preserve">Theo dõi UTM &amp; nguồn truy cập</t>
  </si>
  <si>
    <t xml:space="preserve">Lưu UTM, click-id (fbclid/ttclid), gắn nguồn vào user &amp; đơn hàng.</t>
  </si>
  <si>
    <t xml:space="preserve">FR-SOC-03</t>
  </si>
  <si>
    <t xml:space="preserve">Pixel &amp; Conversion API</t>
  </si>
  <si>
    <t xml:space="preserve">Meta Pixel + Conversions API, TikTok Pixel + Events API.</t>
  </si>
  <si>
    <t xml:space="preserve">S5</t>
  </si>
  <si>
    <t xml:space="preserve">UC-18</t>
  </si>
  <si>
    <t xml:space="preserve">FR-SOC-04</t>
  </si>
  <si>
    <t xml:space="preserve">Quản lý chiến dịch &amp; link theo dõi</t>
  </si>
  <si>
    <t xml:space="preserve">Tạo chiến dịch, link rút gọn/QR, thống kê click.</t>
  </si>
  <si>
    <t xml:space="preserve">FR-SOC-05</t>
  </si>
  <si>
    <t xml:space="preserve">Chia sẻ mạng xã hội &amp; OG meta</t>
  </si>
  <si>
    <t xml:space="preserve">Nút chia sẻ, OpenGraph/Twitter card theo phim.</t>
  </si>
  <si>
    <t xml:space="preserve">FR-SOC-06</t>
  </si>
  <si>
    <t xml:space="preserve">Mã giảm giá &amp; giới thiệu</t>
  </si>
  <si>
    <t xml:space="preserve">Voucher theo phim/gói/thời hạn, referral.</t>
  </si>
  <si>
    <t xml:space="preserve">FR-SOC-07</t>
  </si>
  <si>
    <t xml:space="preserve">Xuất short 9:16 tự động</t>
  </si>
  <si>
    <t xml:space="preserve">Cắt trailer/teaser 9:16, watermark, CTA, phụ đề để đăng TikTok/FB.</t>
  </si>
  <si>
    <t xml:space="preserve">FR-SOC-08</t>
  </si>
  <si>
    <t xml:space="preserve">Đăng tự động lên TikTok / Facebook</t>
  </si>
  <si>
    <t xml:space="preserve">Publish qua API chính thức, lên lịch (cần app review của nền tảng).</t>
  </si>
  <si>
    <t xml:space="preserve">FR-SOC-09</t>
  </si>
  <si>
    <t xml:space="preserve">Thu thập lead &amp; retarget</t>
  </si>
  <si>
    <t xml:space="preserve">Form email/SĐT, gửi nhắc phim mới/giảm giá.</t>
  </si>
  <si>
    <t xml:space="preserve">FR-PAY-01</t>
  </si>
  <si>
    <t xml:space="preserve">PAY · Thanh toán &amp; gói</t>
  </si>
  <si>
    <t xml:space="preserve">Checkout mua lẻ</t>
  </si>
  <si>
    <t xml:space="preserve">Mua phim/tập; xác nhận đơn, trạng thái đơn.</t>
  </si>
  <si>
    <t xml:space="preserve">UC-05</t>
  </si>
  <si>
    <t xml:space="preserve">FR-PAY-02</t>
  </si>
  <si>
    <t xml:space="preserve">Cổng thanh toán nội địa</t>
  </si>
  <si>
    <t xml:space="preserve">VNPay/MoMo/PayOS/VietQR; callback, kiểm chữ ký.</t>
  </si>
  <si>
    <t xml:space="preserve">UC-05, UC-06</t>
  </si>
  <si>
    <t xml:space="preserve">FR-PAY-03</t>
  </si>
  <si>
    <t xml:space="preserve">Webhook idempotent &amp; đối soát</t>
  </si>
  <si>
    <t xml:space="preserve">Xử lý callback trùng/lệch, đối soát tự động, retry.</t>
  </si>
  <si>
    <t xml:space="preserve">UC-05, UC-06, UC-22</t>
  </si>
  <si>
    <t xml:space="preserve">FR-PAY-04</t>
  </si>
  <si>
    <t xml:space="preserve">Quyền sở hữu (entitlement)</t>
  </si>
  <si>
    <t xml:space="preserve">Cấp quyền theo đơn/gói: vĩnh viễn hoặc có thời hạn; thu hồi khi hoàn tiền.</t>
  </si>
  <si>
    <t xml:space="preserve">FR-PAY-05</t>
  </si>
  <si>
    <t xml:space="preserve">Gói thuê bao</t>
  </si>
  <si>
    <t xml:space="preserve">Gói tháng/năm, gia hạn thủ công/tự động, hủy gia hạn, hết hạn.</t>
  </si>
  <si>
    <t xml:space="preserve">UC-06</t>
  </si>
  <si>
    <t xml:space="preserve">FR-PAY-06</t>
  </si>
  <si>
    <t xml:space="preserve">Lịch sử giao dịch &amp; hóa đơn</t>
  </si>
  <si>
    <t xml:space="preserve">Xem đơn đã mua, tải hóa đơn/biên nhận.</t>
  </si>
  <si>
    <t xml:space="preserve">FR-PAY-07</t>
  </si>
  <si>
    <t xml:space="preserve">Thanh toán quốc tế (Stripe)</t>
  </si>
  <si>
    <t xml:space="preserve">Thẻ quốc tế, subscription qua Stripe.</t>
  </si>
  <si>
    <t xml:space="preserve">FR-PAY-08</t>
  </si>
  <si>
    <t xml:space="preserve">Hoàn tiền / hủy giao dịch</t>
  </si>
  <si>
    <t xml:space="preserve">Admin/Finance hoàn tiền, thu hồi quyền, ghi log.</t>
  </si>
  <si>
    <t xml:space="preserve">FR-PAY-09</t>
  </si>
  <si>
    <t xml:space="preserve">Báo cáo doanh thu &amp; đối soát</t>
  </si>
  <si>
    <t xml:space="preserve">Doanh thu theo phim/gói/nguồn; đối soát cổng thanh toán.</t>
  </si>
  <si>
    <t xml:space="preserve">FR-PAY-10</t>
  </si>
  <si>
    <t xml:space="preserve">Ví credit / xu</t>
  </si>
  <si>
    <t xml:space="preserve">Mua credit để xem hoặc tạo phim AI.</t>
  </si>
  <si>
    <t xml:space="preserve">FR-AIV-01</t>
  </si>
  <si>
    <t xml:space="preserve">AIV · AI Film Studio (pipeline)</t>
  </si>
  <si>
    <t xml:space="preserve">Đánh giá nhà cung cấp AI (spike)</t>
  </si>
  <si>
    <t xml:space="preserve">So sánh provider video/ảnh/TTS/LLM: chất lượng, giá, rate-limit, điều khoản thương mại; chốt kiến trúc adapter.</t>
  </si>
  <si>
    <t xml:space="preserve">Tech Lead</t>
  </si>
  <si>
    <t xml:space="preserve">FR-AIV-02</t>
  </si>
  <si>
    <t xml:space="preserve">Kiến trúc pipeline job bất đồng bộ</t>
  </si>
  <si>
    <t xml:space="preserve">Queue, worker, retry/backoff, trạng thái job, lưu artifact từng bước, adapter đa provider.</t>
  </si>
  <si>
    <t xml:space="preserve">FR-AIV-03</t>
  </si>
  <si>
    <t xml:space="preserve">Tạo dự án phim AI (brief)</t>
  </si>
  <si>
    <t xml:space="preserve">Nhập ý tưởng, thể loại, phong cách, thời lượng mục tiêu, khung hình; lưu dự án.</t>
  </si>
  <si>
    <t xml:space="preserve">UC-09</t>
  </si>
  <si>
    <t xml:space="preserve">FR-AIV-04</t>
  </si>
  <si>
    <t xml:space="preserve">Sinh &amp; chỉnh sửa kịch bản (LLM)</t>
  </si>
  <si>
    <t xml:space="preserve">Từ brief sinh outline → kịch bản; sửa tay hoặc yêu cầu AI viết lại; lưu phiên bản.</t>
  </si>
  <si>
    <t xml:space="preserve">UC-09, UC-10</t>
  </si>
  <si>
    <t xml:space="preserve">FR-AIV-05</t>
  </si>
  <si>
    <t xml:space="preserve">Storyboard &amp; prompt từng cảnh</t>
  </si>
  <si>
    <t xml:space="preserve">Tách cảnh (shot list), sinh prompt hình/thoại từng cảnh, cho phép chỉnh.</t>
  </si>
  <si>
    <t xml:space="preserve">UC-10</t>
  </si>
  <si>
    <t xml:space="preserve">FR-AIV-06</t>
  </si>
  <si>
    <t xml:space="preserve">Nhân vật &amp; phong cách nhất quán</t>
  </si>
  <si>
    <t xml:space="preserve">Character sheet, ảnh tham chiếu, style preset; đảm bảo nhất quán giữa các cảnh.</t>
  </si>
  <si>
    <t xml:space="preserve">S6</t>
  </si>
  <si>
    <t xml:space="preserve">UC-11</t>
  </si>
  <si>
    <t xml:space="preserve">FR-AIV-07</t>
  </si>
  <si>
    <t xml:space="preserve">Sinh keyframe ảnh từng cảnh</t>
  </si>
  <si>
    <t xml:space="preserve">Sinh ảnh (nhiều lựa chọn), duyệt/chọn keyframe trước khi tạo video.</t>
  </si>
  <si>
    <t xml:space="preserve">UC-11, UC-12</t>
  </si>
  <si>
    <t xml:space="preserve">FR-AIV-08</t>
  </si>
  <si>
    <t xml:space="preserve">Sinh clip video từng cảnh</t>
  </si>
  <si>
    <t xml:space="preserve">Image-to-video / text-to-video qua provider; hàng đợi, giới hạn đồng thời.</t>
  </si>
  <si>
    <t xml:space="preserve">UC-12</t>
  </si>
  <si>
    <t xml:space="preserve">FR-AIV-09</t>
  </si>
  <si>
    <t xml:space="preserve">Giọng đọc / thoại (TTS)</t>
  </si>
  <si>
    <t xml:space="preserve">Chọn giọng theo nhân vật, tốc độ, cảm xúc; xem thử.</t>
  </si>
  <si>
    <t xml:space="preserve">UC-13, UC-14</t>
  </si>
  <si>
    <t xml:space="preserve">FR-AIV-10</t>
  </si>
  <si>
    <t xml:space="preserve">Nhạc nền &amp; hiệu ứng âm thanh</t>
  </si>
  <si>
    <t xml:space="preserve">Thư viện có bản quyền + sinh AI (tùy chọn); mix âm lượng.</t>
  </si>
  <si>
    <t xml:space="preserve">FR-AIV-11</t>
  </si>
  <si>
    <t xml:space="preserve">Phụ đề tự động</t>
  </si>
  <si>
    <t xml:space="preserve">Sinh SRT/VTT từ thoại, khớp thời gian, burn-in hoặc soft-sub.</t>
  </si>
  <si>
    <t xml:space="preserve">FR-AIV-12</t>
  </si>
  <si>
    <t xml:space="preserve">Ghép &amp; dựng phim tự động</t>
  </si>
  <si>
    <t xml:space="preserve">Ghép cảnh theo timeline, chuyển cảnh cơ bản, mix audio, xuất MP4/HLS (FFmpeg).</t>
  </si>
  <si>
    <t xml:space="preserve">FR-AIV-13</t>
  </si>
  <si>
    <t xml:space="preserve">Chỉnh sửa timeline cơ bản</t>
  </si>
  <si>
    <t xml:space="preserve">Sắp xếp/cắt/thay cảnh, chỉnh audio track trên timeline web.</t>
  </si>
  <si>
    <t xml:space="preserve">FR-AIV-14</t>
  </si>
  <si>
    <t xml:space="preserve">Tạo lại cảnh &amp; lịch sử phiên bản</t>
  </si>
  <si>
    <t xml:space="preserve">Regenerate từng cảnh, so sánh &amp; khôi phục phiên bản.</t>
  </si>
  <si>
    <t xml:space="preserve">FR-AIV-15</t>
  </si>
  <si>
    <t xml:space="preserve">Theo dõi tiến độ job realtime</t>
  </si>
  <si>
    <t xml:space="preserve">SSE/WebSocket hiển thị trạng thái, ETA, log lỗi; retry thủ công.</t>
  </si>
  <si>
    <t xml:space="preserve">FR-AIV-16</t>
  </si>
  <si>
    <t xml:space="preserve">Quản lý chi phí &amp; hạn mức AI</t>
  </si>
  <si>
    <t xml:space="preserve">Ước tính &amp; ghi nhận chi phí mỗi job, quota theo user/dự án, chặn khi vượt hạn mức.</t>
  </si>
  <si>
    <t xml:space="preserve">UC-09, UC-14, UC-21</t>
  </si>
  <si>
    <t xml:space="preserve">FR-AIV-17</t>
  </si>
  <si>
    <t xml:space="preserve">Duyệt nội dung &amp; xuất bản</t>
  </si>
  <si>
    <t xml:space="preserve">Luồng Review → Approve → Publish, đẩy phim hoàn chỉnh vào Catalog.</t>
  </si>
  <si>
    <t xml:space="preserve">FR-AIV-18</t>
  </si>
  <si>
    <t xml:space="preserve">Kiểm duyệt an toàn nội dung AI</t>
  </si>
  <si>
    <t xml:space="preserve">Lọc prompt/kết quả (bạo lực, 18+, người thật/deepfake, bản quyền), blacklist, hàng chờ moderator.</t>
  </si>
  <si>
    <t xml:space="preserve">UC-10, UC-15</t>
  </si>
  <si>
    <t xml:space="preserve">FR-AIV-19</t>
  </si>
  <si>
    <t xml:space="preserve">Nhãn 'AI-generated' &amp; metadata</t>
  </si>
  <si>
    <t xml:space="preserve">Gắn nhãn hiển thị + metadata nội dung AI theo quy định nền tảng.</t>
  </si>
  <si>
    <t xml:space="preserve">FR-AIV-20</t>
  </si>
  <si>
    <t xml:space="preserve">Template phong cách / thể loại</t>
  </si>
  <si>
    <t xml:space="preserve">Thư viện template kịch bản + preset hình ảnh.</t>
  </si>
  <si>
    <t xml:space="preserve">FR-AIV-21</t>
  </si>
  <si>
    <t xml:space="preserve">Người dùng cuối tự tạo phim AI (UGC)</t>
  </si>
  <si>
    <t xml:space="preserve">Cho khách trả credit để tự tạo phim; cần kiểm duyệt &amp; chi phí mạnh hơn.</t>
  </si>
  <si>
    <t xml:space="preserve">FR-NOT-01</t>
  </si>
  <si>
    <t xml:space="preserve">NOT · Thông báo</t>
  </si>
  <si>
    <t xml:space="preserve">Email giao dịch</t>
  </si>
  <si>
    <t xml:space="preserve">Chào mừng, xác thực, hóa đơn, gia hạn/hết hạn gói.</t>
  </si>
  <si>
    <t xml:space="preserve">UC-02, UC-05</t>
  </si>
  <si>
    <t xml:space="preserve">FR-NOT-02</t>
  </si>
  <si>
    <t xml:space="preserve">Thông báo in-app</t>
  </si>
  <si>
    <t xml:space="preserve">Chuông thông báo: phim mới, job AI xong, đơn hàng.</t>
  </si>
  <si>
    <t xml:space="preserve">FR-NOT-03</t>
  </si>
  <si>
    <t xml:space="preserve">Cảnh báo admin qua Telegram/Zalo</t>
  </si>
  <si>
    <t xml:space="preserve">Đơn mới, job lỗi, thanh toán lỗi.</t>
  </si>
  <si>
    <t xml:space="preserve">FR-NOT-04</t>
  </si>
  <si>
    <t xml:space="preserve">Push / email phim mới</t>
  </si>
  <si>
    <t xml:space="preserve">Marketing tới subscriber.</t>
  </si>
  <si>
    <t xml:space="preserve">FR-ANA-01</t>
  </si>
  <si>
    <t xml:space="preserve">ANA · Analytics &amp; báo cáo</t>
  </si>
  <si>
    <t xml:space="preserve">Ghi nhận sự kiện xem</t>
  </si>
  <si>
    <t xml:space="preserve">view, watch-time, completion, drop-off theo tập.</t>
  </si>
  <si>
    <t xml:space="preserve">UC-01, UC-08, UC-19</t>
  </si>
  <si>
    <t xml:space="preserve">FR-ANA-02</t>
  </si>
  <si>
    <t xml:space="preserve">Phễu chuyển đổi theo nguồn</t>
  </si>
  <si>
    <t xml:space="preserve">Short → landing → đăng ký → checkout → thanh toán, theo chiến dịch/nguồn.</t>
  </si>
  <si>
    <t xml:space="preserve">UC-19</t>
  </si>
  <si>
    <t xml:space="preserve">FR-ANA-03</t>
  </si>
  <si>
    <t xml:space="preserve">Hiệu quả phim &amp; ROI vs chi phí AI</t>
  </si>
  <si>
    <t xml:space="preserve">Doanh thu so với chi phí tạo phim, theo phim/chiến dịch.</t>
  </si>
  <si>
    <t xml:space="preserve">FR-ANA-04</t>
  </si>
  <si>
    <t xml:space="preserve">Xuất báo cáo CSV / Excel</t>
  </si>
  <si>
    <t xml:space="preserve">Xuất các báo cáo chính.</t>
  </si>
  <si>
    <t xml:space="preserve">DANH SÁCH USE CASE (UC)</t>
  </si>
  <si>
    <t xml:space="preserve">Sprint lấy tự động từ FR chính. UC ở Backlog nghĩa là chức năng tương ứng thuộc Phase 2.</t>
  </si>
  <si>
    <t xml:space="preserve">Tên Use Case</t>
  </si>
  <si>
    <t xml:space="preserve">FR chính</t>
  </si>
  <si>
    <t xml:space="preserve">FR liên quan</t>
  </si>
  <si>
    <t xml:space="preserve">Điều kiện tiên quyết</t>
  </si>
  <si>
    <t xml:space="preserve">Luồng chính</t>
  </si>
  <si>
    <t xml:space="preserve">Luồng thay thế / ngoại lệ</t>
  </si>
  <si>
    <t xml:space="preserve">Hậu điều kiện</t>
  </si>
  <si>
    <t xml:space="preserve">UC-01</t>
  </si>
  <si>
    <t xml:space="preserve">Từ short TikTok/FB vào trang phim</t>
  </si>
  <si>
    <t xml:space="preserve">FR-SOC-02, FR-PLY-02, FR-ANA-01</t>
  </si>
  <si>
    <t xml:space="preserve">Short có link/nút CTA trỏ tới landing của phim.</t>
  </si>
  <si>
    <t xml:space="preserve">1. Khách xem short trên TikTok/Facebook.
2. Bấm link trong bio/mô tả/CTA.
3. Hệ thống mở landing theo chiến dịch và lưu UTM/click-id.
4. Khách thấy trailer, giá và nút Xem/Mua.</t>
  </si>
  <si>
    <t xml:space="preserve">A1. Phim đã gỡ/hết hạn → chuyển về trang chủ kèm gợi ý.
A2. Trình duyệt in-app của TikTok/FB chặn tính năng → hiển thị hướng dẫn mở bằng trình duyệt ngoài.</t>
  </si>
  <si>
    <t xml:space="preserve">Truy cập được ghi nhận kèm nguồn; khách ở trang chi tiết phim.</t>
  </si>
  <si>
    <t xml:space="preserve">Chưa có tài khoản.</t>
  </si>
  <si>
    <t xml:space="preserve">1. Nhập email, mật khẩu, đồng ý điều khoản.
2. Hệ thống tạo tài khoản, gửi email xác thực.
3. Khách xác thực và được đăng nhập.</t>
  </si>
  <si>
    <t xml:space="preserve">A1. Email đã tồn tại → báo lỗi, gợi ý đăng nhập/quên mật khẩu.
A2. Chưa xác thực email → hạn chế mua hàng.</t>
  </si>
  <si>
    <t xml:space="preserve">Tài khoản User được tạo; nguồn truy cập được gắn vào user.</t>
  </si>
  <si>
    <t xml:space="preserve">Đăng nhập / quên mật khẩu</t>
  </si>
  <si>
    <t xml:space="preserve">Đã có tài khoản.</t>
  </si>
  <si>
    <t xml:space="preserve">1. Nhập email + mật khẩu.
2. Hệ thống cấp access/refresh token.
3. Chuyển về trang trước đó.</t>
  </si>
  <si>
    <t xml:space="preserve">A1. Sai mật khẩu nhiều lần → khóa tạm.
A2. Quên mật khẩu → gửi link đặt lại.</t>
  </si>
  <si>
    <t xml:space="preserve">Phiên đăng nhập hợp lệ.</t>
  </si>
  <si>
    <t xml:space="preserve">Duyệt và tìm phim</t>
  </si>
  <si>
    <t xml:space="preserve">FR-PLY-07, FR-PLY-02</t>
  </si>
  <si>
    <t xml:space="preserve">Có phim ở trạng thái Published.</t>
  </si>
  <si>
    <t xml:space="preserve">1. Mở trang chủ, duyệt các hàng phim.
2. Tìm kiếm/lọc theo thể loại.
3. Mở trang chi tiết.</t>
  </si>
  <si>
    <t xml:space="preserve">A1. Không có kết quả → gợi ý phim khác.</t>
  </si>
  <si>
    <t xml:space="preserve">Người dùng tới trang chi tiết phim.</t>
  </si>
  <si>
    <t xml:space="preserve">Mua lẻ một phim / tập</t>
  </si>
  <si>
    <t xml:space="preserve">FR-PAY-02, FR-PAY-03, FR-PAY-04, FR-NOT-01</t>
  </si>
  <si>
    <t xml:space="preserve">Đã đăng nhập; phim có giá.</t>
  </si>
  <si>
    <t xml:space="preserve">1. Bấm Mua ở trang chi tiết.
2. Xem đơn, chọn cổng thanh toán.
3. Thanh toán; cổng gọi webhook.
4. Hệ thống xác nhận đơn, cấp entitlement, gửi email.</t>
  </si>
  <si>
    <t xml:space="preserve">A1. Thanh toán thất bại/hủy → đơn ở trạng thái Failed, cho thử lại.
A2. Webhook đến trễ/trùng → xử lý idempotent, không cấp quyền hai lần.</t>
  </si>
  <si>
    <t xml:space="preserve">Đơn Paid; người dùng có quyền xem phim.</t>
  </si>
  <si>
    <t xml:space="preserve">Đăng ký gói thuê bao</t>
  </si>
  <si>
    <t xml:space="preserve">FR-PAY-02, FR-PAY-03, FR-PAY-04</t>
  </si>
  <si>
    <t xml:space="preserve">Đã đăng nhập; có gói đang bán.</t>
  </si>
  <si>
    <t xml:space="preserve">1. Chọn gói (tháng/năm).
2. Thanh toán.
3. Hệ thống kích hoạt gói và mở quyền xem theo phạm vi gói.</t>
  </si>
  <si>
    <t xml:space="preserve">A1. Gói hết hạn → mất quyền, hiển thị lời mời gia hạn.
A2. Hủy gia hạn → giữ quyền đến hết chu kỳ.</t>
  </si>
  <si>
    <t xml:space="preserve">Subscription Active với ngày hết hạn.</t>
  </si>
  <si>
    <t xml:space="preserve">Xem phim</t>
  </si>
  <si>
    <t xml:space="preserve">FR-PLY-05, FR-MED-03</t>
  </si>
  <si>
    <t xml:space="preserve">Có quyền xem (miễn phí / đã mua / gói còn hạn).</t>
  </si>
  <si>
    <t xml:space="preserve">1. Bấm Xem.
2. Hệ thống kiểm tra entitlement, cấp signed URL ngắn hạn.
3. Trình phát HLS chạy, tự chỉnh chất lượng theo mạng.</t>
  </si>
  <si>
    <t xml:space="preserve">A1. Chưa có quyền → hiển thị CTA mua/đăng ký.
A2. Link hết hạn → cấp lại link.</t>
  </si>
  <si>
    <t xml:space="preserve">Lượt xem được ghi nhận.</t>
  </si>
  <si>
    <t xml:space="preserve">Xem tiếp phim đang dở</t>
  </si>
  <si>
    <t xml:space="preserve">FR-ANA-01, FR-PLY-03</t>
  </si>
  <si>
    <t xml:space="preserve">Đã từng xem một phần.</t>
  </si>
  <si>
    <t xml:space="preserve">1. Mở lại phim.
2. Trình phát tiếp tục từ vị trí đã lưu (nếu có tính năng).</t>
  </si>
  <si>
    <t xml:space="preserve">A1. Không có dữ liệu → phát từ đầu.</t>
  </si>
  <si>
    <t xml:space="preserve">Vị trí xem cập nhật.</t>
  </si>
  <si>
    <t xml:space="preserve">Tạo dự án phim AI từ ý tưởng</t>
  </si>
  <si>
    <t xml:space="preserve">FR-AIV-04, FR-AIV-16</t>
  </si>
  <si>
    <t xml:space="preserve">Có tài khoản Creator; còn hạn mức chi phí.</t>
  </si>
  <si>
    <t xml:space="preserve">1. Tạo dự án, nhập brief (ý tưởng, thể loại, phong cách, thời lượng).
2. Hệ thống ước tính chi phí.
3. Creator xác nhận bắt đầu.</t>
  </si>
  <si>
    <t xml:space="preserve">A1. Vượt hạn mức → chặn, yêu cầu Admin cấp thêm.</t>
  </si>
  <si>
    <t xml:space="preserve">Dự án ở trạng thái Draft, sẵn sàng tạo kịch bản.</t>
  </si>
  <si>
    <t xml:space="preserve">Sinh và chỉnh sửa kịch bản</t>
  </si>
  <si>
    <t xml:space="preserve">FR-AIV-05, FR-AIV-18</t>
  </si>
  <si>
    <t xml:space="preserve">Có dự án.</t>
  </si>
  <si>
    <t xml:space="preserve">1. Bấm Sinh kịch bản; LLM tạo outline rồi kịch bản.
2. Creator sửa tay hoặc yêu cầu viết lại từng phần.
3. Chốt kịch bản; hệ thống tách cảnh (storyboard).</t>
  </si>
  <si>
    <t xml:space="preserve">A1. Prompt vi phạm chính sách → chặn và báo lý do.
A2. Provider lỗi → job tự retry, báo trạng thái.</t>
  </si>
  <si>
    <t xml:space="preserve">Kịch bản và danh sách cảnh được chốt.</t>
  </si>
  <si>
    <t xml:space="preserve">Thiết lập nhân vật và phong cách</t>
  </si>
  <si>
    <t xml:space="preserve">Đã có storyboard.</t>
  </si>
  <si>
    <t xml:space="preserve">1. Tạo nhân vật (mô tả/ảnh tham chiếu).
2. Chọn style preset.
3. Sinh thử ảnh, chọn bản ưng ý làm chuẩn cho cả phim.</t>
  </si>
  <si>
    <t xml:space="preserve">A1. Kết quả không nhất quán → sinh lại/đổi tham chiếu.</t>
  </si>
  <si>
    <t xml:space="preserve">Character sheet và style được khóa cho dự án.</t>
  </si>
  <si>
    <t xml:space="preserve">Sinh keyframe và clip cho từng cảnh</t>
  </si>
  <si>
    <t xml:space="preserve">FR-AIV-07, FR-AIV-15, FR-AIV-14</t>
  </si>
  <si>
    <t xml:space="preserve">Đã có nhân vật và prompt cảnh.</t>
  </si>
  <si>
    <t xml:space="preserve">1. Sinh keyframe, duyệt/chọn.
2. Gửi job sinh clip cho từng cảnh.
3. Theo dõi tiến độ realtime.
4. Xem lại, chấp nhận hoặc tạo lại cảnh.</t>
  </si>
  <si>
    <t xml:space="preserve">A1. Job lỗi → retry tự động, sau đó cho Creator thử lại thủ công.
A2. Vượt rate-limit provider → xếp hàng chờ.</t>
  </si>
  <si>
    <t xml:space="preserve">Mỗi cảnh có một clip được chấp nhận.</t>
  </si>
  <si>
    <t xml:space="preserve">UC-13</t>
  </si>
  <si>
    <t xml:space="preserve">Thêm giọng đọc và âm thanh</t>
  </si>
  <si>
    <t xml:space="preserve">Các cảnh đã có clip.</t>
  </si>
  <si>
    <t xml:space="preserve">1. Gán giọng cho nhân vật.
2. Sinh thoại (TTS) cho từng cảnh.
3. Xem thử đồng bộ hình – tiếng.</t>
  </si>
  <si>
    <t xml:space="preserve">A1. Thoại dài hơn clip → cảnh báo, gợi ý cắt/kéo dài.</t>
  </si>
  <si>
    <t xml:space="preserve">Audio từng cảnh sẵn sàng để ghép.</t>
  </si>
  <si>
    <t xml:space="preserve">UC-14</t>
  </si>
  <si>
    <t xml:space="preserve">Dựng phim hoàn chỉnh</t>
  </si>
  <si>
    <t xml:space="preserve">FR-AIV-09, FR-AIV-16</t>
  </si>
  <si>
    <t xml:space="preserve">Đủ clip và audio.</t>
  </si>
  <si>
    <t xml:space="preserve">1. Bấm Ghép phim.
2. Hệ thống ghép cảnh, chuyển cảnh, mix audio, xuất video.
3. Creator xem bản nháp và gửi duyệt.</t>
  </si>
  <si>
    <t xml:space="preserve">A1. Ghép lỗi → xem log, ghép lại cảnh có vấn đề.</t>
  </si>
  <si>
    <t xml:space="preserve">Bản phim hoàn chỉnh trạng thái Chờ duyệt.</t>
  </si>
  <si>
    <t xml:space="preserve">UC-15</t>
  </si>
  <si>
    <t xml:space="preserve">Kiểm duyệt nội dung AI</t>
  </si>
  <si>
    <t xml:space="preserve">Có nội dung bị hệ thống gắn cờ hoặc chờ duyệt.</t>
  </si>
  <si>
    <t xml:space="preserve">1. Moderator mở hàng chờ.
2. Xem prompt/kết quả bị gắn cờ.
3. Cho qua hoặc từ chối kèm lý do.</t>
  </si>
  <si>
    <t xml:space="preserve">A1. Vi phạm nghiêm trọng → khóa dự án và báo Admin.</t>
  </si>
  <si>
    <t xml:space="preserve">Quyết định kiểm duyệt được ghi log.</t>
  </si>
  <si>
    <t xml:space="preserve">Duyệt và xuất bản phim</t>
  </si>
  <si>
    <t xml:space="preserve">FR-CAT-01, FR-CAT-04, FR-CAT-05</t>
  </si>
  <si>
    <t xml:space="preserve">Phim ở trạng thái Chờ duyệt.</t>
  </si>
  <si>
    <t xml:space="preserve">1. Xem phim, kiểm tra thông tin.
2. Đặt giá, thể loại, poster, lịch phát hành.
3. Duyệt → phim vào Catalog theo lịch.</t>
  </si>
  <si>
    <t xml:space="preserve">A1. Từ chối → trả về Creator kèm góp ý.</t>
  </si>
  <si>
    <t xml:space="preserve">Phim ở trạng thái Scheduled/Published.</t>
  </si>
  <si>
    <t xml:space="preserve">Quản lý phim, tập và giá</t>
  </si>
  <si>
    <t xml:space="preserve">FR-CAT-02, FR-CAT-05, FR-MED-01, FR-MED-02</t>
  </si>
  <si>
    <t xml:space="preserve">Có quyền Content Manager.</t>
  </si>
  <si>
    <t xml:space="preserve">1. Tạo/sửa phim, mùa, tập.
2. Upload video nếu là nội dung không tạo bằng pipeline.
3. Hệ thống transcode HLS.
4. Đặt giá và xuất bản.</t>
  </si>
  <si>
    <t xml:space="preserve">A1. Transcode lỗi → báo lỗi, cho thử lại.</t>
  </si>
  <si>
    <t xml:space="preserve">Catalog được cập nhật.</t>
  </si>
  <si>
    <t xml:space="preserve">Tạo chiến dịch và theo dõi nguồn</t>
  </si>
  <si>
    <t xml:space="preserve">FR-SOC-01, FR-SOC-03</t>
  </si>
  <si>
    <t xml:space="preserve">Phim đã Published.</t>
  </si>
  <si>
    <t xml:space="preserve">1. Tạo link chiến dịch có UTM cho từng short.
2. Đăng short kèm link.
3. Hệ thống theo dõi truy cập và chuyển đổi, đẩy sự kiện về Pixel/CAPI.</t>
  </si>
  <si>
    <t xml:space="preserve">A1. Người dùng chặn cookie → dùng server-side event.</t>
  </si>
  <si>
    <t xml:space="preserve">Dữ liệu nguồn – chuyển đổi được ghi nhận.</t>
  </si>
  <si>
    <t xml:space="preserve">Xem dashboard và phễu chuyển đổi</t>
  </si>
  <si>
    <t xml:space="preserve">FR-ADM-05, FR-ANA-01</t>
  </si>
  <si>
    <t xml:space="preserve">Có dữ liệu sự kiện.</t>
  </si>
  <si>
    <t xml:space="preserve">1. Mở dashboard.
2. Lọc theo thời gian, phim, chiến dịch.
3. Xem doanh thu, phễu, chi phí AI.</t>
  </si>
  <si>
    <t xml:space="preserve">A1. Chưa có dữ liệu → hiển thị trạng thái trống.</t>
  </si>
  <si>
    <t xml:space="preserve">Admin nắm được hiệu quả kinh doanh.</t>
  </si>
  <si>
    <t xml:space="preserve">Quản lý người dùng và phân quyền</t>
  </si>
  <si>
    <t xml:space="preserve">FR-ADM-01, FR-ADM-04</t>
  </si>
  <si>
    <t xml:space="preserve">Có quyền Admin.</t>
  </si>
  <si>
    <t xml:space="preserve">1. Tìm người dùng.
2. Đổi vai trò / khóa tài khoản.
3. Hành động được ghi audit log.</t>
  </si>
  <si>
    <t xml:space="preserve">A1. Cố đổi quyền Super Admin bởi Admin thường → từ chối.</t>
  </si>
  <si>
    <t xml:space="preserve">Quyền người dùng được cập nhật.</t>
  </si>
  <si>
    <t xml:space="preserve">UC-21</t>
  </si>
  <si>
    <t xml:space="preserve">Theo dõi chi phí và hạn mức AI</t>
  </si>
  <si>
    <t xml:space="preserve">Có job AI đã chạy.</t>
  </si>
  <si>
    <t xml:space="preserve">1. Xem chi phí theo dự án/creator.
2. Đặt hạn mức.
3. Nhận cảnh báo khi gần chạm hạn mức.</t>
  </si>
  <si>
    <t xml:space="preserve">A1. Vượt hạn mức → chặn job mới.</t>
  </si>
  <si>
    <t xml:space="preserve">Chi phí AI được kiểm soát.</t>
  </si>
  <si>
    <t xml:space="preserve">UC-22</t>
  </si>
  <si>
    <t xml:space="preserve">Đối soát và xử lý giao dịch lỗi</t>
  </si>
  <si>
    <t xml:space="preserve">Có giao dịch từ cổng thanh toán.</t>
  </si>
  <si>
    <t xml:space="preserve">1. Hệ thống đối soát tự động callback với đơn.
2. Giao dịch lệch được liệt kê.
3. Finance xử lý (khớp thủ công / từ chối).</t>
  </si>
  <si>
    <t xml:space="preserve">A1. Giao dịch đã thu tiền nhưng chưa cấp quyền → cấp quyền thủ công.</t>
  </si>
  <si>
    <t xml:space="preserve">Đơn và quyền khớp với tiền thực thu.</t>
  </si>
  <si>
    <t xml:space="preserve">KẾ HOẠCH 8 SPRINT (1 TUẦN / SPRINT, ~2 THÁNG)</t>
  </si>
  <si>
    <t xml:space="preserve">Chưa gán người. Man-day tự cộng từ sheet FR theo cột Sprint. Đỏ = vượt năng lực.</t>
  </si>
  <si>
    <t xml:space="preserve">Bắt đầu</t>
  </si>
  <si>
    <t xml:space="preserve">Kết thúc</t>
  </si>
  <si>
    <t xml:space="preserve">Mục tiêu sprint</t>
  </si>
  <si>
    <t xml:space="preserve">Kết quả demo cuối sprint</t>
  </si>
  <si>
    <t xml:space="preserve">Dev kế hoạch</t>
  </si>
  <si>
    <t xml:space="preserve">Dev năng lực</t>
  </si>
  <si>
    <t xml:space="preserve">% Dev</t>
  </si>
  <si>
    <t xml:space="preserve">Lead (BA+QA)</t>
  </si>
  <si>
    <t xml:space="preserve">Lead năng lực</t>
  </si>
  <si>
    <t xml:space="preserve">% Lead</t>
  </si>
  <si>
    <t xml:space="preserve">Cảnh báo</t>
  </si>
  <si>
    <t xml:space="preserve">Số FR</t>
  </si>
  <si>
    <t xml:space="preserve">Nền móng &amp; chốt kiến trúc</t>
  </si>
  <si>
    <t xml:space="preserve">Repo + CI/CD chạy; CSDL v1; design system; đăng ký/đăng nhập; khung RBAC; báo cáo đánh giá provider AI (chất lượng/giá) và chốt kiến trúc adapter.</t>
  </si>
  <si>
    <t xml:space="preserve">Catalog, media &amp; lõi pipeline AI</t>
  </si>
  <si>
    <t xml:space="preserve">Admin tạo phim/tập, upload video, transcode HLS xem được; quản lý user; pipeline job bất đồng bộ chạy được job mẫu.</t>
  </si>
  <si>
    <t xml:space="preserve">Storefront &amp; phễu từ social</t>
  </si>
  <si>
    <t xml:space="preserve">Trang chủ, chi tiết phim, trình phát HLS; landing theo chiến dịch + ghi UTM/click-id; định giá &amp; vòng đời xuất bản; email giao dịch.</t>
  </si>
  <si>
    <t xml:space="preserve">Thanh toán mua lẻ &amp; quyền xem</t>
  </si>
  <si>
    <t xml:space="preserve">Mua lẻ bằng cổng nội địa end-to-end, webhook idempotent, cấp entitlement, signed URL; tìm kiếm; trang pháp lý.</t>
  </si>
  <si>
    <t xml:space="preserve">AI Studio 1: ý tưởng → storyboard → keyframe</t>
  </si>
  <si>
    <t xml:space="preserve">Creator nhập brief → sinh kịch bản → storyboard → keyframe; theo dõi job realtime; Pixel/CAPI; ghi nhận sự kiện xem.</t>
  </si>
  <si>
    <t xml:space="preserve">AI Studio 2: clip, giọng, dựng phim</t>
  </si>
  <si>
    <t xml:space="preserve">Sinh clip từng cảnh, nhân vật nhất quán, TTS, tự ghép thành phim MP4/HLS; hạn mức &amp; chi phí AI.</t>
  </si>
  <si>
    <t xml:space="preserve">Duyệt &amp; xuất bản, gói thuê bao, dashboard</t>
  </si>
  <si>
    <t xml:space="preserve">Kiểm duyệt AI, regenerate/phiên bản, duyệt &amp; xuất bản vào Catalog; gói thuê bao; dashboard &amp; phễu chuyển đổi.</t>
  </si>
  <si>
    <t xml:space="preserve">Audit log, hardening, UAT &amp; bàn giao</t>
  </si>
  <si>
    <t xml:space="preserve">Bảo mật, load test, UAT cùng khách, sửa lỗi, tài liệu, bàn giao; dự phòng cho bug từ các sprint trước.</t>
  </si>
  <si>
    <t xml:space="preserve">Tổng 8 sprint</t>
  </si>
  <si>
    <t xml:space="preserve">Backlog (Phase 2)</t>
  </si>
  <si>
    <t xml:space="preserve">Ghi chú: S8 cố ý để trống ~40% năng lực dev làm bộ đệm sửa lỗi/UAT. Ràng buộc phụ thuộc chính: S1 → S2 (pipeline) → S5–S6 (AI Studio) → S7 (xuất bản); S3–S4 (storefront → thanh toán) chạy song song với pipeline AI.</t>
  </si>
  <si>
    <t xml:space="preserve">TỔNG HỢP EFFORT THEO MODULE &amp; ƯU TIÊN</t>
  </si>
  <si>
    <t xml:space="preserve">Tất cả số liệu là công thức từ sheet FR. 'Trong kế hoạch' = FR có sprint S1–S8.</t>
  </si>
  <si>
    <t xml:space="preserve">FR trong kế hoạch</t>
  </si>
  <si>
    <t xml:space="preserve">FR Backlog</t>
  </si>
  <si>
    <t xml:space="preserve">Man-day trong kế hoạch</t>
  </si>
  <si>
    <t xml:space="preserve">Man-day Backlog</t>
  </si>
  <si>
    <t xml:space="preserve">TỔNG</t>
  </si>
  <si>
    <t xml:space="preserve">ƯỚC TÍNH CHI PHÍ NHÂN SỰ (chưa gồm API AI &amp; hạ tầng)</t>
  </si>
  <si>
    <t xml:space="preserve">Đơn giá / man-day (nhập ở 'Tổng quan')</t>
  </si>
  <si>
    <t xml:space="preserve">Chi phí nhân sự MVP (VND)</t>
  </si>
  <si>
    <t xml:space="preserve">Chi phí Backlog / Phase 2 (VND)</t>
  </si>
  <si>
    <t xml:space="preserve">CÂU HỎI CẦN CHỐT VỚI KHÁCH &amp; RỦI RO</t>
  </si>
  <si>
    <t xml:space="preserve">#</t>
  </si>
  <si>
    <t xml:space="preserve">Câu hỏi cho khách hàng</t>
  </si>
  <si>
    <t xml:space="preserve">Vì sao quan trọng / ảnh hưởng</t>
  </si>
  <si>
    <t xml:space="preserve">Giả định hiện tại</t>
  </si>
  <si>
    <t xml:space="preserve">Câu trả lời của khách</t>
  </si>
  <si>
    <t xml:space="preserve">Ảnh hưởng FR</t>
  </si>
  <si>
    <t xml:space="preserve">Ai là người tạo phim: đội studio nội bộ hay khách cuối tự tạo (UGC)?</t>
  </si>
  <si>
    <t xml:space="preserve">UGC kéo theo kiểm duyệt, chi phí AI, ví credit, chống lạm dụng — tăng ~10–15 man-day và rủi ro pháp lý.</t>
  </si>
  <si>
    <t xml:space="preserve">Chỉ Creator nội bộ; UGC ở Phase 2.</t>
  </si>
  <si>
    <t xml:space="preserve">FR-AIV-21, FR-PAY-10</t>
  </si>
  <si>
    <t xml:space="preserve">Mục tiêu chất lượng &amp; thời lượng: phim 2–30 phút hay tới 60 phút? Phong cách (hoạt hình/realistic)? Có cần nhân vật nhất quán?</t>
  </si>
  <si>
    <t xml:space="preserve">Quyết định provider AI, chi phí/phút và độ khó ghép cảnh. Nhân vật nhất quán là phần khó nhất.</t>
  </si>
  <si>
    <t xml:space="preserve">Ghép từ cảnh 5–10s; 2–30 phút là chính; nhất quán nhân vật ở mức tham chiếu ảnh.</t>
  </si>
  <si>
    <t xml:space="preserve">FR-AIV-06, FR-AIV-08</t>
  </si>
  <si>
    <t xml:space="preserve">Ngân sách API AI mỗi phút phim là bao nhiêu? Ai trả chi phí API?</t>
  </si>
  <si>
    <t xml:space="preserve">Chi phí sinh video AI lớn và thay đổi theo provider; ảnh hưởng giá bán &amp; mô hình credit.</t>
  </si>
  <si>
    <t xml:space="preserve">Ngoài estimate; có hạn mức theo dự án.</t>
  </si>
  <si>
    <t xml:space="preserve">Nội dung phim là thể loại nào? Có yếu tố 18+, người thật, thương hiệu, bản quyền?</t>
  </si>
  <si>
    <t xml:space="preserve">Chính sách nền tảng TikTok/FB và luật về deepfake/nhãn AI; ảnh hưởng kiểm duyệt.</t>
  </si>
  <si>
    <t xml:space="preserve">Không 18+, không dùng hình ảnh người thật; có nhãn AI.</t>
  </si>
  <si>
    <t xml:space="preserve">FR-AIV-18, FR-AIV-19, FR-SYS-04</t>
  </si>
  <si>
    <t xml:space="preserve">Mô hình bán: mua lẻ theo phim hay theo tập? Giá thuê (xem có hạn) hay sở hữu? Gói tháng/năm gồm những gì?</t>
  </si>
  <si>
    <t xml:space="preserve">Ảnh hưởng entitlement, thanh toán, hoàn tiền.</t>
  </si>
  <si>
    <t xml:space="preserve">Mua lẻ vĩnh viễn + gói tháng/năm xem không giới hạn.</t>
  </si>
  <si>
    <t xml:space="preserve">FR-CAT-05, FR-PAY-04, FR-PAY-05</t>
  </si>
  <si>
    <t xml:space="preserve">Thanh toán: cổng nào (VNPay/MoMo/PayOS/VietQR/Stripe)? Khách đã có tài khoản merchant chưa?</t>
  </si>
  <si>
    <t xml:space="preserve">Đăng ký merchant thường mất 1–3 tuần; là rủi ro tiến độ.</t>
  </si>
  <si>
    <t xml:space="preserve">Một cổng nội địa; khách nộp hồ sơ ngay sau họp.</t>
  </si>
  <si>
    <t xml:space="preserve">FR-PAY-02, FR-PAY-07</t>
  </si>
  <si>
    <t xml:space="preserve">Có cần đăng tự động lên TikTok/FB không, hay chỉ cần trang đích &amp; tracking?</t>
  </si>
  <si>
    <t xml:space="preserve">Cần app review, có thể mất nhiều tuần; ngoài tầm kiểm soát.</t>
  </si>
  <si>
    <t xml:space="preserve">Chỉ landing + Pixel/CAPI trong 8 tuần.</t>
  </si>
  <si>
    <t xml:space="preserve">FR-SOC-03, FR-SOC-08</t>
  </si>
  <si>
    <t xml:space="preserve">Yêu cầu chống sao chép/tải lậu ở mức nào (signed URL, watermark, DRM thương mại)?</t>
  </si>
  <si>
    <t xml:space="preserve">DRM thương mại (Widevine/FairPlay) tốn kém và lâu.</t>
  </si>
  <si>
    <t xml:space="preserve">Signed URL + tuỳ chọn watermark, không DRM thương mại.</t>
  </si>
  <si>
    <t xml:space="preserve">Lượng người dùng đồng thời kỳ vọng? Cần CDN nào?</t>
  </si>
  <si>
    <t xml:space="preserve">Quyết định hạ tầng streaming và chi phí băng thông.</t>
  </si>
  <si>
    <t xml:space="preserve">Vài trăm CCU giai đoạn đầu; CDN thuê ngoài.</t>
  </si>
  <si>
    <t xml:space="preserve">FR-MED-04, FR-SYS-08</t>
  </si>
  <si>
    <t xml:space="preserve">Hosting: cloud nào, dữ liệu đặt ở đâu? Ngân sách hạ tầng?</t>
  </si>
  <si>
    <t xml:space="preserve">Ảnh hưởng thiết kế và chi phí vận hành.</t>
  </si>
  <si>
    <t xml:space="preserve">Cloud/VPS + object storage + CDN; khách chọn.</t>
  </si>
  <si>
    <t xml:space="preserve">Ngôn ngữ giao diện &amp; thị trường mục tiêu (chỉ VN hay quốc tế)?</t>
  </si>
  <si>
    <t xml:space="preserve">Ảnh hưởng i18n, thanh toán, phụ đề.</t>
  </si>
  <si>
    <t xml:space="preserve">Chỉ tiếng Việt, thị trường VN.</t>
  </si>
  <si>
    <t xml:space="preserve">FR-SYS-11, FR-CAT-06</t>
  </si>
  <si>
    <t xml:space="preserve">Ai vận hành sau bàn giao (đội nào duyệt phim, kiểm duyệt, chăm sóc khách)?</t>
  </si>
  <si>
    <t xml:space="preserve">Định nghĩa vai trò và mức tự động hóa của kiểm duyệt.</t>
  </si>
  <si>
    <t xml:space="preserve">Khách có Content Manager + Moderator riêng.</t>
  </si>
  <si>
    <t xml:space="preserve">FR-ADM-01, FR-AIV-17</t>
  </si>
  <si>
    <t xml:space="preserve">Thương hiệu, tài liệu nhận diện, nội dung mẫu, phim/trailer cần có khi chạy thử?</t>
  </si>
  <si>
    <t xml:space="preserve">Chặn tiến độ FE/nội dung nếu thiếu sớm.</t>
  </si>
  <si>
    <t xml:space="preserve">Khách cung cấp brand kit trước Sprint 3.</t>
  </si>
  <si>
    <t xml:space="preserve">FR-SYS-03, FR-PLY-01</t>
  </si>
  <si>
    <t xml:space="preserve">RỦI RO CHÍNH</t>
  </si>
  <si>
    <t xml:space="preserve">Rủi ro</t>
  </si>
  <si>
    <t xml:space="preserve">Tác động</t>
  </si>
  <si>
    <t xml:space="preserve">Biện pháp giảm thiểu</t>
  </si>
  <si>
    <t xml:space="preserve">Mức độ</t>
  </si>
  <si>
    <t xml:space="preserve">Liên quan</t>
  </si>
  <si>
    <t xml:space="preserve">Chi phí API sinh video vượt dự kiến</t>
  </si>
  <si>
    <t xml:space="preserve">Ăn mòn biên lợi nhuận; khó định giá phim</t>
  </si>
  <si>
    <t xml:space="preserve">Hạn mức theo dự án, ước tính chi phí trước khi chạy, preview độ phân giải thấp, adapter đa provider</t>
  </si>
  <si>
    <t xml:space="preserve">Cao</t>
  </si>
  <si>
    <t xml:space="preserve">FR-AIV-16, FR-AIV-01</t>
  </si>
  <si>
    <t xml:space="preserve">Nhân vật/phong cách không nhất quán giữa các cảnh</t>
  </si>
  <si>
    <t xml:space="preserve">Phim khó xem, tốn thời gian regenerate</t>
  </si>
  <si>
    <t xml:space="preserve">Ảnh tham chiếu + style preset, cho duyệt keyframe trước khi tạo clip, spike đánh giá ở Sprint 1</t>
  </si>
  <si>
    <t xml:space="preserve">FR-AIV-06, FR-AIV-07</t>
  </si>
  <si>
    <t xml:space="preserve">Thời gian render/độ trễ và rate-limit của provider</t>
  </si>
  <si>
    <t xml:space="preserve">Phim 30–60 phút mất nhiều giờ</t>
  </si>
  <si>
    <t xml:space="preserve">Job bất đồng bộ, xếp hàng, chạy song song có giới hạn, báo tiến độ</t>
  </si>
  <si>
    <t xml:space="preserve">Trung bình</t>
  </si>
  <si>
    <t xml:space="preserve">FR-AIV-02, FR-AIV-15</t>
  </si>
  <si>
    <t xml:space="preserve">Bản quyền, deepfake và chính sách nhãn AI của TikTok/Facebook</t>
  </si>
  <si>
    <t xml:space="preserve">Bị gỡ nội dung/khóa tài khoản, rủi ro pháp lý</t>
  </si>
  <si>
    <t xml:space="preserve">Kiểm duyệt prompt/kết quả, nhãn AI, điều khoản rõ ràng</t>
  </si>
  <si>
    <t xml:space="preserve">FR-AIV-18, FR-AIV-19</t>
  </si>
  <si>
    <t xml:space="preserve">Đăng ký cổng thanh toán và app review social chậm</t>
  </si>
  <si>
    <t xml:space="preserve">Trễ tính năng doanh thu</t>
  </si>
  <si>
    <t xml:space="preserve">Khách nộp hồ sơ ngay; có phương án chuyển khoản/VietQR tạm</t>
  </si>
  <si>
    <t xml:space="preserve">FR-PAY-02, FR-SOC-08</t>
  </si>
  <si>
    <t xml:space="preserve">Năng lực team hạn chế (3 dev, 1 lead kiêm BA + QA)</t>
  </si>
  <si>
    <t xml:space="preserve">S3–S4 và S8 lead quá tải; ít bộ đệm</t>
  </si>
  <si>
    <t xml:space="preserve">Dev tự viết test cho tính năng của mình, chốt scope sớm, đưa Should sang Phase 2; cân nhắc QA bán thời gian</t>
  </si>
  <si>
    <t xml:space="preserve">Sheet 'Sprint'</t>
  </si>
  <si>
    <t xml:space="preserve">Scope creep từ khách sau họp</t>
  </si>
  <si>
    <t xml:space="preserve">Vỡ kế hoạch 8 tuần</t>
  </si>
  <si>
    <t xml:space="preserve">Khóa baseline FR sau họp; thay đổi đi qua change request</t>
  </si>
  <si>
    <t xml:space="preserve">Quy mô phim dài làm tăng dung lượng lưu trữ và băng thông</t>
  </si>
  <si>
    <t xml:space="preserve">Chi phí hạ tầng</t>
  </si>
  <si>
    <t xml:space="preserve">Chọn bitrate hợp lý, lifecycle storage, CDN</t>
  </si>
  <si>
    <t xml:space="preserve">FR-MED-02, FR-MED-04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</si>
</sst>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dd/mm/yyyy"/>
    <numFmt numFmtId="166" formatCode="0"/>
    <numFmt numFmtId="167" formatCode="0%"/>
    <numFmt numFmtId="168" formatCode="#,##0"/>
    <numFmt numFmtId="169" formatCode="0.0"/>
    <numFmt numFmtId="170" formatCode="0.0#;\-0.0#;\-"/>
    <numFmt numFmtId="171" formatCode="dd/mm/yy"/>
    <numFmt numFmtId="172" formatCode="0.0;\-0.0;\-"/>
    <numFmt numFmtId="173" formatCode="#,##0.0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5500"/>
      <name val="Arial"/>
      <family val="0"/>
      <charset val="1"/>
    </font>
    <font>
      <i val="true"/>
      <sz val="9"/>
      <color rgb="FF6B728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9CA3AF"/>
      <name val="Arial"/>
      <family val="0"/>
      <charset val="1"/>
    </font>
    <font>
      <b val="true"/>
      <sz val="12"/>
      <color rgb="FFFF550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FF5500"/>
        <bgColor rgb="FFFF9900"/>
      </patternFill>
    </fill>
    <fill>
      <patternFill patternType="solid">
        <fgColor rgb="FFFFFF00"/>
        <bgColor rgb="FFFFFF00"/>
      </patternFill>
    </fill>
    <fill>
      <patternFill patternType="solid">
        <fgColor rgb="FF1F2937"/>
        <bgColor rgb="FF333300"/>
      </patternFill>
    </fill>
    <fill>
      <patternFill patternType="solid">
        <fgColor rgb="FFE5E7EB"/>
        <bgColor rgb="FFDBEAFE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3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6" fontId="9" fillId="3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67" fontId="9" fillId="3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68" fontId="9" fillId="3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69" fontId="7" fillId="0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66" fontId="8" fillId="0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69" fontId="8" fillId="0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67" fontId="8" fillId="0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64" fontId="10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9" fontId="8" fillId="5" borderId="0" xfId="0" applyFont="true" applyBorder="false" applyAlignment="true" applyProtection="false">
      <alignment horizontal="center" vertical="top" textRotation="0" wrapText="true" indent="0" shrinkToFit="false"/>
      <protection locked="true" hidden="false"/>
    </xf>
    <xf numFmtId="170" fontId="9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70" fontId="8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71" fontId="7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72" fontId="7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7" fontId="7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2" fontId="8" fillId="5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7" fontId="8" fillId="5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7">
    <dxf>
      <fill>
        <patternFill patternType="solid">
          <fgColor rgb="FF1F2937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DBEAFE"/>
          <bgColor rgb="FF000000"/>
        </patternFill>
      </fill>
    </dxf>
    <dxf>
      <fill>
        <patternFill patternType="solid">
          <fgColor rgb="FFFECACA"/>
          <bgColor rgb="FF000000"/>
        </patternFill>
      </fill>
    </dxf>
    <dxf>
      <fill>
        <patternFill patternType="solid">
          <fgColor rgb="FFFEF3C7"/>
          <bgColor rgb="FF000000"/>
        </patternFill>
      </fill>
    </dxf>
    <dxf>
      <fill>
        <patternFill patternType="solid">
          <fgColor rgb="FF1E40AF"/>
          <bgColor rgb="FF000000"/>
        </patternFill>
      </fill>
    </dxf>
    <dxf>
      <fill>
        <patternFill patternType="solid">
          <fgColor rgb="FF92400E"/>
          <bgColor rgb="FF000000"/>
        </patternFill>
      </fill>
    </dxf>
    <dxf>
      <fill>
        <patternFill patternType="solid">
          <fgColor rgb="FF991B1B"/>
          <bgColor rgb="FF000000"/>
        </patternFill>
      </fill>
    </dxf>
    <dxf>
      <fill>
        <patternFill patternType="solid">
          <fgColor rgb="FFE5E7EB"/>
          <bgColor rgb="FF000000"/>
        </patternFill>
      </fill>
    </dxf>
    <dxf>
      <fill>
        <patternFill patternType="solid">
          <fgColor rgb="FF6B7280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ont>
        <name val="Arial"/>
        <charset val="1"/>
        <family val="0"/>
        <b val="1"/>
        <color rgb="FF991B1B"/>
      </font>
      <fill>
        <patternFill>
          <bgColor rgb="FFFECACA"/>
        </patternFill>
      </fill>
    </dxf>
    <dxf>
      <font>
        <name val="Arial"/>
        <charset val="1"/>
        <family val="0"/>
        <b val="1"/>
        <color rgb="FF92400E"/>
      </font>
      <fill>
        <patternFill>
          <bgColor rgb="FFFEF3C7"/>
        </patternFill>
      </fill>
    </dxf>
    <dxf>
      <font>
        <name val="Arial"/>
        <charset val="1"/>
        <family val="0"/>
        <b val="1"/>
        <color rgb="FF1E40AF"/>
      </font>
      <fill>
        <patternFill>
          <bgColor rgb="FFDBEAFE"/>
        </patternFill>
      </fill>
    </dxf>
    <dxf>
      <font>
        <name val="Arial"/>
        <charset val="1"/>
        <family val="0"/>
        <color rgb="FF6B7280"/>
      </font>
      <fill>
        <patternFill>
          <bgColor rgb="FFE5E7EB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91B1B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EF3C7"/>
      <rgbColor rgb="FFDBEAFE"/>
      <rgbColor rgb="FF660066"/>
      <rgbColor rgb="FFFF8080"/>
      <rgbColor rgb="FF0066CC"/>
      <rgbColor rgb="FFD1D5D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5E7EB"/>
      <rgbColor rgb="FFCCFFCC"/>
      <rgbColor rgb="FFFFFF99"/>
      <rgbColor rgb="FF99CCFF"/>
      <rgbColor rgb="FFFF99CC"/>
      <rgbColor rgb="FFCC99FF"/>
      <rgbColor rgb="FFFECACA"/>
      <rgbColor rgb="FF3366FF"/>
      <rgbColor rgb="FF33CCCC"/>
      <rgbColor rgb="FF99CC00"/>
      <rgbColor rgb="FFFFCC00"/>
      <rgbColor rgb="FFFF9900"/>
      <rgbColor rgb="FFFF5500"/>
      <rgbColor rgb="FF6B7280"/>
      <rgbColor rgb="FF9CA3AF"/>
      <rgbColor rgb="FF003366"/>
      <rgbColor rgb="FF339966"/>
      <rgbColor rgb="FF003300"/>
      <rgbColor rgb="FF333300"/>
      <rgbColor rgb="FF92400E"/>
      <rgbColor rgb="FF993366"/>
      <rgbColor rgb="FF1E40AF"/>
      <rgbColor rgb="FF1F293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2937"/>
    <pageSetUpPr fitToPage="false"/>
  </sheetPr>
  <dimension ref="A1:E42"/>
  <sheetViews>
    <sheetView showFormulas="false" showGridLines="false" showRowColHeaders="true" showZeros="true" rightToLeft="false" tabSelected="tru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4"/>
    <col collapsed="false" customWidth="true" hidden="false" outlineLevel="0" max="3" min="3" style="0" width="22"/>
    <col collapsed="false" customWidth="true" hidden="false" outlineLevel="0" max="4" min="4" style="0" width="60"/>
    <col collapsed="false" customWidth="true" hidden="false" outlineLevel="0" max="5" min="5" style="0" width="3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B4" s="3" t="s">
        <v>2</v>
      </c>
      <c r="C4" s="4"/>
      <c r="D4" s="4"/>
      <c r="E4" s="4"/>
    </row>
    <row r="5" customFormat="false" ht="45" hidden="false" customHeight="true" outlineLevel="0" collapsed="false">
      <c r="B5" s="5" t="s">
        <v>3</v>
      </c>
      <c r="C5" s="5"/>
      <c r="D5" s="5"/>
      <c r="E5" s="5"/>
    </row>
    <row r="7" customFormat="false" ht="15" hidden="false" customHeight="false" outlineLevel="0" collapsed="false">
      <c r="B7" s="3" t="s">
        <v>4</v>
      </c>
      <c r="C7" s="4"/>
      <c r="D7" s="4"/>
      <c r="E7" s="4"/>
    </row>
    <row r="8" customFormat="false" ht="30" hidden="false" customHeight="true" outlineLevel="0" collapsed="false">
      <c r="B8" s="5" t="s">
        <v>5</v>
      </c>
      <c r="C8" s="5"/>
      <c r="D8" s="5"/>
      <c r="E8" s="5"/>
    </row>
    <row r="9" customFormat="false" ht="30" hidden="false" customHeight="true" outlineLevel="0" collapsed="false">
      <c r="B9" s="5" t="s">
        <v>6</v>
      </c>
      <c r="C9" s="5"/>
      <c r="D9" s="5"/>
      <c r="E9" s="5"/>
    </row>
    <row r="10" customFormat="false" ht="15" hidden="false" customHeight="true" outlineLevel="0" collapsed="false">
      <c r="B10" s="5" t="s">
        <v>7</v>
      </c>
      <c r="C10" s="5"/>
      <c r="D10" s="5"/>
      <c r="E10" s="5"/>
    </row>
    <row r="11" customFormat="false" ht="30" hidden="false" customHeight="true" outlineLevel="0" collapsed="false">
      <c r="B11" s="5" t="s">
        <v>8</v>
      </c>
      <c r="C11" s="5"/>
      <c r="D11" s="5"/>
      <c r="E11" s="5"/>
    </row>
    <row r="12" customFormat="false" ht="30" hidden="false" customHeight="true" outlineLevel="0" collapsed="false">
      <c r="B12" s="5" t="s">
        <v>9</v>
      </c>
      <c r="C12" s="5"/>
      <c r="D12" s="5"/>
      <c r="E12" s="5"/>
    </row>
    <row r="13" customFormat="false" ht="15" hidden="false" customHeight="true" outlineLevel="0" collapsed="false">
      <c r="B13" s="5" t="s">
        <v>10</v>
      </c>
      <c r="C13" s="5"/>
      <c r="D13" s="5"/>
      <c r="E13" s="5"/>
    </row>
    <row r="14" customFormat="false" ht="30" hidden="false" customHeight="true" outlineLevel="0" collapsed="false">
      <c r="B14" s="5" t="s">
        <v>11</v>
      </c>
      <c r="C14" s="5"/>
      <c r="D14" s="5"/>
      <c r="E14" s="5"/>
    </row>
    <row r="15" customFormat="false" ht="15" hidden="false" customHeight="true" outlineLevel="0" collapsed="false">
      <c r="B15" s="5" t="s">
        <v>12</v>
      </c>
      <c r="C15" s="5"/>
      <c r="D15" s="5"/>
      <c r="E15" s="5"/>
    </row>
    <row r="17" customFormat="false" ht="15" hidden="false" customHeight="false" outlineLevel="0" collapsed="false">
      <c r="B17" s="3" t="s">
        <v>13</v>
      </c>
      <c r="C17" s="4"/>
      <c r="D17" s="4"/>
      <c r="E17" s="4"/>
    </row>
    <row r="18" customFormat="false" ht="15" hidden="false" customHeight="false" outlineLevel="0" collapsed="false">
      <c r="B18" s="6" t="s">
        <v>14</v>
      </c>
      <c r="C18" s="7" t="n">
        <v>46300</v>
      </c>
      <c r="D18" s="8" t="s">
        <v>15</v>
      </c>
    </row>
    <row r="19" customFormat="false" ht="15" hidden="false" customHeight="false" outlineLevel="0" collapsed="false">
      <c r="B19" s="6" t="s">
        <v>16</v>
      </c>
      <c r="C19" s="9" t="n">
        <v>5</v>
      </c>
    </row>
    <row r="20" customFormat="false" ht="15" hidden="false" customHeight="false" outlineLevel="0" collapsed="false">
      <c r="B20" s="6" t="s">
        <v>17</v>
      </c>
      <c r="C20" s="9" t="n">
        <v>3</v>
      </c>
      <c r="D20" s="8" t="s">
        <v>18</v>
      </c>
    </row>
    <row r="21" customFormat="false" ht="15" hidden="false" customHeight="false" outlineLevel="0" collapsed="false">
      <c r="B21" s="6" t="s">
        <v>19</v>
      </c>
      <c r="C21" s="10" t="n">
        <v>0.9</v>
      </c>
      <c r="D21" s="8" t="s">
        <v>20</v>
      </c>
    </row>
    <row r="22" customFormat="false" ht="15" hidden="false" customHeight="false" outlineLevel="0" collapsed="false">
      <c r="B22" s="6" t="s">
        <v>21</v>
      </c>
      <c r="C22" s="9" t="n">
        <v>1</v>
      </c>
    </row>
    <row r="23" customFormat="false" ht="15" hidden="false" customHeight="false" outlineLevel="0" collapsed="false">
      <c r="B23" s="6" t="s">
        <v>22</v>
      </c>
      <c r="C23" s="10" t="n">
        <v>0.85</v>
      </c>
      <c r="D23" s="8" t="s">
        <v>23</v>
      </c>
    </row>
    <row r="24" customFormat="false" ht="15" hidden="false" customHeight="false" outlineLevel="0" collapsed="false">
      <c r="B24" s="6" t="s">
        <v>24</v>
      </c>
      <c r="C24" s="11"/>
      <c r="D24" s="8" t="s">
        <v>25</v>
      </c>
    </row>
    <row r="25" customFormat="false" ht="15" hidden="false" customHeight="false" outlineLevel="0" collapsed="false">
      <c r="B25" s="6" t="s">
        <v>26</v>
      </c>
      <c r="C25" s="12" t="n">
        <f aca="false">C20*C19*C21</f>
        <v>13.5</v>
      </c>
    </row>
    <row r="26" customFormat="false" ht="15" hidden="false" customHeight="false" outlineLevel="0" collapsed="false">
      <c r="B26" s="6" t="s">
        <v>27</v>
      </c>
      <c r="C26" s="12" t="n">
        <f aca="false">C22*C19*C23</f>
        <v>4.25</v>
      </c>
    </row>
    <row r="28" customFormat="false" ht="15" hidden="false" customHeight="false" outlineLevel="0" collapsed="false">
      <c r="B28" s="3" t="s">
        <v>28</v>
      </c>
      <c r="C28" s="4"/>
      <c r="D28" s="4"/>
      <c r="E28" s="4"/>
    </row>
    <row r="29" customFormat="false" ht="15" hidden="false" customHeight="false" outlineLevel="0" collapsed="false">
      <c r="B29" s="6" t="s">
        <v>29</v>
      </c>
      <c r="C29" s="13" t="n">
        <f aca="false">COUNTA(FR!$A$4:$A$500)</f>
        <v>95</v>
      </c>
    </row>
    <row r="30" customFormat="false" ht="15" hidden="false" customHeight="false" outlineLevel="0" collapsed="false">
      <c r="B30" s="6" t="s">
        <v>30</v>
      </c>
      <c r="C30" s="13" t="n">
        <f aca="false">COUNTIFS(FR!$G$4:$G$500,"&lt;&gt;Backlog",FR!$A$4:$A$500,"&lt;&gt;")</f>
        <v>53</v>
      </c>
    </row>
    <row r="31" customFormat="false" ht="15" hidden="false" customHeight="false" outlineLevel="0" collapsed="false">
      <c r="B31" s="6" t="s">
        <v>31</v>
      </c>
      <c r="C31" s="13" t="n">
        <f aca="false">COUNTIF(FR!$G$4:$G$500,"Backlog")</f>
        <v>42</v>
      </c>
    </row>
    <row r="32" customFormat="false" ht="15" hidden="false" customHeight="false" outlineLevel="0" collapsed="false">
      <c r="B32" s="6" t="s">
        <v>32</v>
      </c>
      <c r="C32" s="13" t="n">
        <f aca="false">COUNTA(UC!$A$4:$A$200)</f>
        <v>22</v>
      </c>
    </row>
    <row r="33" customFormat="false" ht="15" hidden="false" customHeight="false" outlineLevel="0" collapsed="false">
      <c r="B33" s="6" t="s">
        <v>33</v>
      </c>
      <c r="C33" s="14" t="n">
        <f aca="false">SUMIFS(FR!$M$4:$M$500,FR!$G$4:$G$500,"&lt;&gt;Backlog",FR!$A$4:$A$500,"&lt;&gt;")</f>
        <v>138.95</v>
      </c>
    </row>
    <row r="34" customFormat="false" ht="15" hidden="false" customHeight="false" outlineLevel="0" collapsed="false">
      <c r="B34" s="6" t="s">
        <v>34</v>
      </c>
      <c r="C34" s="14" t="n">
        <f aca="false">SUMIFS(FR!$M$4:$M$500,FR!$G$4:$G$500,"Backlog")</f>
        <v>85.9</v>
      </c>
    </row>
    <row r="35" customFormat="false" ht="15" hidden="false" customHeight="false" outlineLevel="0" collapsed="false">
      <c r="B35" s="6" t="s">
        <v>35</v>
      </c>
      <c r="C35" s="14" t="n">
        <f aca="false">C25*8</f>
        <v>108</v>
      </c>
    </row>
    <row r="36" customFormat="false" ht="15" hidden="false" customHeight="false" outlineLevel="0" collapsed="false">
      <c r="B36" s="6" t="s">
        <v>36</v>
      </c>
      <c r="C36" s="15" t="n">
        <f aca="false">SUMIFS(FR!$N$4:$N$500,FR!$G$4:$G$500,"&lt;&gt;Backlog",FR!$A$4:$A$500,"&lt;&gt;")/C35</f>
        <v>0.935185185185185</v>
      </c>
    </row>
    <row r="38" customFormat="false" ht="15" hidden="false" customHeight="false" outlineLevel="0" collapsed="false">
      <c r="B38" s="3" t="s">
        <v>37</v>
      </c>
      <c r="C38" s="4"/>
      <c r="D38" s="4"/>
      <c r="E38" s="4"/>
    </row>
    <row r="39" customFormat="false" ht="15" hidden="false" customHeight="true" outlineLevel="0" collapsed="false">
      <c r="B39" s="5" t="s">
        <v>38</v>
      </c>
      <c r="C39" s="5"/>
      <c r="D39" s="5"/>
      <c r="E39" s="5"/>
    </row>
    <row r="40" customFormat="false" ht="15" hidden="false" customHeight="true" outlineLevel="0" collapsed="false">
      <c r="B40" s="5" t="s">
        <v>39</v>
      </c>
      <c r="C40" s="5"/>
      <c r="D40" s="5"/>
      <c r="E40" s="5"/>
    </row>
    <row r="41" customFormat="false" ht="30" hidden="false" customHeight="true" outlineLevel="0" collapsed="false">
      <c r="B41" s="5" t="s">
        <v>40</v>
      </c>
      <c r="C41" s="5"/>
      <c r="D41" s="5"/>
      <c r="E41" s="5"/>
    </row>
    <row r="42" customFormat="false" ht="15" hidden="false" customHeight="true" outlineLevel="0" collapsed="false">
      <c r="B42" s="5" t="s">
        <v>41</v>
      </c>
      <c r="C42" s="5"/>
      <c r="D42" s="5"/>
      <c r="E42" s="5"/>
    </row>
  </sheetData>
  <mergeCells count="13">
    <mergeCell ref="B5:E5"/>
    <mergeCell ref="B8:E8"/>
    <mergeCell ref="B9:E9"/>
    <mergeCell ref="B10:E10"/>
    <mergeCell ref="B11:E11"/>
    <mergeCell ref="B12:E12"/>
    <mergeCell ref="B13:E13"/>
    <mergeCell ref="B14:E14"/>
    <mergeCell ref="B15:E15"/>
    <mergeCell ref="B39:E39"/>
    <mergeCell ref="B40:E40"/>
    <mergeCell ref="B41:E41"/>
    <mergeCell ref="B42:E4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2937"/>
    <pageSetUpPr fitToPage="false"/>
  </sheetPr>
  <dimension ref="A1:L15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44"/>
    <col collapsed="false" customWidth="true" hidden="false" outlineLevel="0" max="12" min="3" style="0" width="16"/>
  </cols>
  <sheetData>
    <row r="1" customFormat="false" ht="17.35" hidden="false" customHeight="false" outlineLevel="0" collapsed="false">
      <c r="A1" s="1" t="s">
        <v>42</v>
      </c>
    </row>
    <row r="2" customFormat="false" ht="15" hidden="false" customHeight="false" outlineLevel="0" collapsed="false">
      <c r="A2" s="2" t="s">
        <v>43</v>
      </c>
    </row>
    <row r="4" customFormat="false" ht="31.5" hidden="false" customHeight="true" outlineLevel="0" collapsed="false">
      <c r="A4" s="16" t="s">
        <v>44</v>
      </c>
      <c r="B4" s="16" t="s">
        <v>45</v>
      </c>
      <c r="C4" s="16" t="s">
        <v>46</v>
      </c>
      <c r="D4" s="16" t="s">
        <v>47</v>
      </c>
      <c r="E4" s="16" t="s">
        <v>48</v>
      </c>
      <c r="F4" s="16" t="s">
        <v>49</v>
      </c>
      <c r="G4" s="16" t="s">
        <v>50</v>
      </c>
      <c r="H4" s="16" t="s">
        <v>51</v>
      </c>
      <c r="I4" s="16" t="s">
        <v>52</v>
      </c>
      <c r="J4" s="16" t="s">
        <v>53</v>
      </c>
      <c r="K4" s="16" t="s">
        <v>54</v>
      </c>
      <c r="L4" s="16" t="s">
        <v>55</v>
      </c>
    </row>
    <row r="5" customFormat="false" ht="15" hidden="false" customHeight="false" outlineLevel="0" collapsed="false">
      <c r="A5" s="17" t="s">
        <v>56</v>
      </c>
      <c r="B5" s="18" t="s">
        <v>57</v>
      </c>
      <c r="C5" s="19" t="s">
        <v>58</v>
      </c>
      <c r="D5" s="20" t="s">
        <v>59</v>
      </c>
      <c r="E5" s="19" t="s">
        <v>60</v>
      </c>
      <c r="F5" s="20" t="s">
        <v>59</v>
      </c>
      <c r="G5" s="20" t="s">
        <v>59</v>
      </c>
      <c r="H5" s="20" t="s">
        <v>59</v>
      </c>
      <c r="I5" s="20" t="s">
        <v>59</v>
      </c>
      <c r="J5" s="20" t="s">
        <v>59</v>
      </c>
      <c r="K5" s="20" t="s">
        <v>59</v>
      </c>
      <c r="L5" s="20" t="s">
        <v>59</v>
      </c>
    </row>
    <row r="6" customFormat="false" ht="15" hidden="false" customHeight="false" outlineLevel="0" collapsed="false">
      <c r="A6" s="17" t="s">
        <v>61</v>
      </c>
      <c r="B6" s="18" t="s">
        <v>62</v>
      </c>
      <c r="C6" s="19" t="s">
        <v>63</v>
      </c>
      <c r="D6" s="19" t="s">
        <v>64</v>
      </c>
      <c r="E6" s="19" t="s">
        <v>60</v>
      </c>
      <c r="F6" s="20" t="s">
        <v>59</v>
      </c>
      <c r="G6" s="20" t="s">
        <v>59</v>
      </c>
      <c r="H6" s="20" t="s">
        <v>59</v>
      </c>
      <c r="I6" s="19" t="s">
        <v>65</v>
      </c>
      <c r="J6" s="20" t="s">
        <v>59</v>
      </c>
      <c r="K6" s="20" t="s">
        <v>59</v>
      </c>
      <c r="L6" s="20" t="s">
        <v>59</v>
      </c>
    </row>
    <row r="7" customFormat="false" ht="15" hidden="false" customHeight="false" outlineLevel="0" collapsed="false">
      <c r="A7" s="17" t="s">
        <v>66</v>
      </c>
      <c r="B7" s="18" t="s">
        <v>67</v>
      </c>
      <c r="C7" s="19" t="s">
        <v>68</v>
      </c>
      <c r="D7" s="19" t="s">
        <v>64</v>
      </c>
      <c r="E7" s="19" t="s">
        <v>60</v>
      </c>
      <c r="F7" s="20" t="s">
        <v>59</v>
      </c>
      <c r="G7" s="20" t="s">
        <v>59</v>
      </c>
      <c r="H7" s="20" t="s">
        <v>59</v>
      </c>
      <c r="I7" s="19" t="s">
        <v>65</v>
      </c>
      <c r="J7" s="20" t="s">
        <v>59</v>
      </c>
      <c r="K7" s="20" t="s">
        <v>59</v>
      </c>
      <c r="L7" s="20" t="s">
        <v>59</v>
      </c>
    </row>
    <row r="8" customFormat="false" ht="15" hidden="false" customHeight="false" outlineLevel="0" collapsed="false">
      <c r="A8" s="17" t="s">
        <v>69</v>
      </c>
      <c r="B8" s="18" t="s">
        <v>70</v>
      </c>
      <c r="C8" s="19" t="s">
        <v>60</v>
      </c>
      <c r="D8" s="19" t="s">
        <v>64</v>
      </c>
      <c r="E8" s="19" t="s">
        <v>60</v>
      </c>
      <c r="F8" s="19" t="s">
        <v>71</v>
      </c>
      <c r="G8" s="20" t="s">
        <v>59</v>
      </c>
      <c r="H8" s="20" t="s">
        <v>59</v>
      </c>
      <c r="I8" s="20" t="s">
        <v>59</v>
      </c>
      <c r="J8" s="20" t="s">
        <v>59</v>
      </c>
      <c r="K8" s="20" t="s">
        <v>59</v>
      </c>
      <c r="L8" s="20" t="s">
        <v>59</v>
      </c>
    </row>
    <row r="9" customFormat="false" ht="15" hidden="false" customHeight="false" outlineLevel="0" collapsed="false">
      <c r="A9" s="17" t="s">
        <v>72</v>
      </c>
      <c r="B9" s="18" t="s">
        <v>73</v>
      </c>
      <c r="C9" s="19" t="s">
        <v>60</v>
      </c>
      <c r="D9" s="19" t="s">
        <v>64</v>
      </c>
      <c r="E9" s="19" t="s">
        <v>74</v>
      </c>
      <c r="F9" s="19" t="s">
        <v>75</v>
      </c>
      <c r="G9" s="20" t="s">
        <v>59</v>
      </c>
      <c r="H9" s="19" t="s">
        <v>60</v>
      </c>
      <c r="I9" s="20" t="s">
        <v>59</v>
      </c>
      <c r="J9" s="20" t="s">
        <v>59</v>
      </c>
      <c r="K9" s="20" t="s">
        <v>59</v>
      </c>
      <c r="L9" s="20" t="s">
        <v>59</v>
      </c>
    </row>
    <row r="10" customFormat="false" ht="15" hidden="false" customHeight="false" outlineLevel="0" collapsed="false">
      <c r="A10" s="17" t="s">
        <v>76</v>
      </c>
      <c r="B10" s="18" t="s">
        <v>77</v>
      </c>
      <c r="C10" s="19" t="s">
        <v>60</v>
      </c>
      <c r="D10" s="19" t="s">
        <v>64</v>
      </c>
      <c r="E10" s="19" t="s">
        <v>60</v>
      </c>
      <c r="F10" s="19" t="s">
        <v>60</v>
      </c>
      <c r="G10" s="19" t="s">
        <v>75</v>
      </c>
      <c r="H10" s="20" t="s">
        <v>59</v>
      </c>
      <c r="I10" s="20" t="s">
        <v>59</v>
      </c>
      <c r="J10" s="20" t="s">
        <v>59</v>
      </c>
      <c r="K10" s="20" t="s">
        <v>59</v>
      </c>
      <c r="L10" s="19" t="s">
        <v>60</v>
      </c>
    </row>
    <row r="11" customFormat="false" ht="15" hidden="false" customHeight="false" outlineLevel="0" collapsed="false">
      <c r="A11" s="17" t="s">
        <v>78</v>
      </c>
      <c r="B11" s="18" t="s">
        <v>79</v>
      </c>
      <c r="C11" s="19" t="s">
        <v>60</v>
      </c>
      <c r="D11" s="19" t="s">
        <v>64</v>
      </c>
      <c r="E11" s="19" t="s">
        <v>60</v>
      </c>
      <c r="F11" s="20" t="s">
        <v>59</v>
      </c>
      <c r="G11" s="20" t="s">
        <v>59</v>
      </c>
      <c r="H11" s="19" t="s">
        <v>80</v>
      </c>
      <c r="I11" s="19" t="s">
        <v>60</v>
      </c>
      <c r="J11" s="20" t="s">
        <v>59</v>
      </c>
      <c r="K11" s="20" t="s">
        <v>59</v>
      </c>
      <c r="L11" s="20" t="s">
        <v>59</v>
      </c>
    </row>
    <row r="12" customFormat="false" ht="15" hidden="false" customHeight="false" outlineLevel="0" collapsed="false">
      <c r="A12" s="17" t="s">
        <v>81</v>
      </c>
      <c r="B12" s="18" t="s">
        <v>82</v>
      </c>
      <c r="C12" s="19" t="s">
        <v>60</v>
      </c>
      <c r="D12" s="19" t="s">
        <v>64</v>
      </c>
      <c r="E12" s="19" t="s">
        <v>60</v>
      </c>
      <c r="F12" s="20" t="s">
        <v>59</v>
      </c>
      <c r="G12" s="20" t="s">
        <v>59</v>
      </c>
      <c r="H12" s="19" t="s">
        <v>60</v>
      </c>
      <c r="I12" s="19" t="s">
        <v>83</v>
      </c>
      <c r="J12" s="20" t="s">
        <v>59</v>
      </c>
      <c r="K12" s="20" t="s">
        <v>59</v>
      </c>
      <c r="L12" s="19" t="s">
        <v>60</v>
      </c>
    </row>
    <row r="13" customFormat="false" ht="15" hidden="false" customHeight="false" outlineLevel="0" collapsed="false">
      <c r="A13" s="17" t="s">
        <v>84</v>
      </c>
      <c r="B13" s="18" t="s">
        <v>85</v>
      </c>
      <c r="C13" s="19" t="s">
        <v>60</v>
      </c>
      <c r="D13" s="19" t="s">
        <v>64</v>
      </c>
      <c r="E13" s="19" t="s">
        <v>60</v>
      </c>
      <c r="F13" s="20" t="s">
        <v>59</v>
      </c>
      <c r="G13" s="20" t="s">
        <v>59</v>
      </c>
      <c r="H13" s="20" t="s">
        <v>59</v>
      </c>
      <c r="I13" s="19" t="s">
        <v>60</v>
      </c>
      <c r="J13" s="19" t="s">
        <v>86</v>
      </c>
      <c r="K13" s="20" t="s">
        <v>59</v>
      </c>
      <c r="L13" s="20" t="s">
        <v>59</v>
      </c>
    </row>
    <row r="14" customFormat="false" ht="23.85" hidden="false" customHeight="false" outlineLevel="0" collapsed="false">
      <c r="A14" s="17" t="s">
        <v>87</v>
      </c>
      <c r="B14" s="18" t="s">
        <v>88</v>
      </c>
      <c r="C14" s="19" t="s">
        <v>60</v>
      </c>
      <c r="D14" s="19" t="s">
        <v>80</v>
      </c>
      <c r="E14" s="19" t="s">
        <v>74</v>
      </c>
      <c r="F14" s="19" t="s">
        <v>80</v>
      </c>
      <c r="G14" s="19" t="s">
        <v>89</v>
      </c>
      <c r="H14" s="19" t="s">
        <v>80</v>
      </c>
      <c r="I14" s="19" t="s">
        <v>80</v>
      </c>
      <c r="J14" s="19" t="s">
        <v>90</v>
      </c>
      <c r="K14" s="19" t="s">
        <v>91</v>
      </c>
      <c r="L14" s="19" t="s">
        <v>60</v>
      </c>
    </row>
    <row r="15" customFormat="false" ht="15" hidden="false" customHeight="false" outlineLevel="0" collapsed="false">
      <c r="A15" s="17" t="s">
        <v>92</v>
      </c>
      <c r="B15" s="18" t="s">
        <v>93</v>
      </c>
      <c r="C15" s="19" t="s">
        <v>60</v>
      </c>
      <c r="D15" s="19" t="s">
        <v>80</v>
      </c>
      <c r="E15" s="19" t="s">
        <v>74</v>
      </c>
      <c r="F15" s="19" t="s">
        <v>80</v>
      </c>
      <c r="G15" s="19" t="s">
        <v>89</v>
      </c>
      <c r="H15" s="19" t="s">
        <v>80</v>
      </c>
      <c r="I15" s="19" t="s">
        <v>80</v>
      </c>
      <c r="J15" s="19" t="s">
        <v>80</v>
      </c>
      <c r="K15" s="19" t="s">
        <v>80</v>
      </c>
      <c r="L15" s="19" t="s">
        <v>60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5500"/>
    <pageSetUpPr fitToPage="false"/>
  </sheetPr>
  <dimension ref="A1:Q98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3" ySplit="3" topLeftCell="D4" activePane="bottomRight" state="frozen"/>
      <selection pane="topLeft" activeCell="A1" activeCellId="0" sqref="A1"/>
      <selection pane="topRight" activeCell="D1" activeCellId="0" sqref="D1"/>
      <selection pane="bottomLeft" activeCell="A4" activeCellId="0" sqref="A4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26"/>
    <col collapsed="false" customWidth="true" hidden="false" outlineLevel="0" max="3" min="3" style="0" width="34"/>
    <col collapsed="false" customWidth="true" hidden="false" outlineLevel="0" max="4" min="4" style="0" width="58"/>
    <col collapsed="false" customWidth="true" hidden="false" outlineLevel="0" max="5" min="5" style="0" width="15"/>
    <col collapsed="false" customWidth="true" hidden="false" outlineLevel="0" max="7" min="6" style="0" width="10"/>
    <col collapsed="false" customWidth="true" hidden="false" outlineLevel="0" max="12" min="8" style="0" width="7"/>
    <col collapsed="false" customWidth="true" hidden="false" outlineLevel="0" max="13" min="13" style="0" width="10"/>
    <col collapsed="false" customWidth="true" hidden="false" outlineLevel="0" max="14" min="14" style="0" width="11"/>
    <col collapsed="false" customWidth="true" hidden="false" outlineLevel="0" max="15" min="15" style="0" width="18"/>
    <col collapsed="false" customWidth="true" hidden="false" outlineLevel="0" max="16" min="16" style="0" width="13"/>
    <col collapsed="false" customWidth="true" hidden="false" outlineLevel="0" max="17" min="17" style="0" width="28"/>
  </cols>
  <sheetData>
    <row r="1" customFormat="false" ht="17.35" hidden="false" customHeight="false" outlineLevel="0" collapsed="false">
      <c r="A1" s="1" t="s">
        <v>94</v>
      </c>
    </row>
    <row r="2" customFormat="false" ht="15" hidden="false" customHeight="false" outlineLevel="0" collapsed="false">
      <c r="A2" s="6" t="s">
        <v>95</v>
      </c>
      <c r="H2" s="21" t="n">
        <f aca="false">SUBTOTAL(109,H4:H500)</f>
        <v>32</v>
      </c>
      <c r="I2" s="21" t="n">
        <f aca="false">SUBTOTAL(109,I4:I500)</f>
        <v>74.35</v>
      </c>
      <c r="J2" s="21" t="n">
        <f aca="false">SUBTOTAL(109,J4:J500)</f>
        <v>66.75</v>
      </c>
      <c r="K2" s="21" t="n">
        <f aca="false">SUBTOTAL(109,K4:K500)</f>
        <v>23.75</v>
      </c>
      <c r="L2" s="21" t="n">
        <f aca="false">SUBTOTAL(109,L4:L500)</f>
        <v>28</v>
      </c>
      <c r="M2" s="21" t="n">
        <f aca="false">SUBTOTAL(109,M4:M500)</f>
        <v>224.85</v>
      </c>
      <c r="N2" s="21" t="n">
        <f aca="false">SUBTOTAL(109,N4:N500)</f>
        <v>164.85</v>
      </c>
    </row>
    <row r="3" customFormat="false" ht="31.5" hidden="false" customHeight="true" outlineLevel="0" collapsed="false">
      <c r="A3" s="16" t="s">
        <v>96</v>
      </c>
      <c r="B3" s="16" t="s">
        <v>97</v>
      </c>
      <c r="C3" s="16" t="s">
        <v>98</v>
      </c>
      <c r="D3" s="16" t="s">
        <v>45</v>
      </c>
      <c r="E3" s="16" t="s">
        <v>99</v>
      </c>
      <c r="F3" s="16" t="s">
        <v>100</v>
      </c>
      <c r="G3" s="16" t="s">
        <v>101</v>
      </c>
      <c r="H3" s="16" t="s">
        <v>102</v>
      </c>
      <c r="I3" s="16" t="s">
        <v>103</v>
      </c>
      <c r="J3" s="16" t="s">
        <v>104</v>
      </c>
      <c r="K3" s="16" t="s">
        <v>105</v>
      </c>
      <c r="L3" s="16" t="s">
        <v>106</v>
      </c>
      <c r="M3" s="16" t="s">
        <v>107</v>
      </c>
      <c r="N3" s="16" t="s">
        <v>108</v>
      </c>
      <c r="O3" s="16" t="s">
        <v>109</v>
      </c>
      <c r="P3" s="16" t="s">
        <v>110</v>
      </c>
      <c r="Q3" s="16" t="s">
        <v>111</v>
      </c>
    </row>
    <row r="4" customFormat="false" ht="15" hidden="false" customHeight="false" outlineLevel="0" collapsed="false">
      <c r="A4" s="19" t="s">
        <v>112</v>
      </c>
      <c r="B4" s="18" t="s">
        <v>113</v>
      </c>
      <c r="C4" s="18" t="s">
        <v>114</v>
      </c>
      <c r="D4" s="18" t="s">
        <v>115</v>
      </c>
      <c r="E4" s="18" t="s">
        <v>116</v>
      </c>
      <c r="F4" s="19" t="s">
        <v>117</v>
      </c>
      <c r="G4" s="19" t="s">
        <v>118</v>
      </c>
      <c r="H4" s="22" t="n">
        <v>0</v>
      </c>
      <c r="I4" s="22" t="n">
        <v>1.5</v>
      </c>
      <c r="J4" s="22" t="n">
        <v>0.5</v>
      </c>
      <c r="K4" s="22" t="n">
        <v>0.5</v>
      </c>
      <c r="L4" s="22" t="n">
        <v>0.2</v>
      </c>
      <c r="M4" s="23" t="n">
        <f aca="false">SUM(H4:L4)</f>
        <v>2.7</v>
      </c>
      <c r="N4" s="23" t="n">
        <f aca="false">SUM(I4:K4)</f>
        <v>2.5</v>
      </c>
      <c r="O4" s="18" t="s">
        <v>59</v>
      </c>
      <c r="P4" s="19" t="s">
        <v>119</v>
      </c>
      <c r="Q4" s="18"/>
    </row>
    <row r="5" customFormat="false" ht="23.85" hidden="false" customHeight="false" outlineLevel="0" collapsed="false">
      <c r="A5" s="19" t="s">
        <v>120</v>
      </c>
      <c r="B5" s="18" t="s">
        <v>113</v>
      </c>
      <c r="C5" s="18" t="s">
        <v>121</v>
      </c>
      <c r="D5" s="18" t="s">
        <v>122</v>
      </c>
      <c r="E5" s="18" t="s">
        <v>116</v>
      </c>
      <c r="F5" s="19" t="s">
        <v>117</v>
      </c>
      <c r="G5" s="19" t="s">
        <v>118</v>
      </c>
      <c r="H5" s="22" t="n">
        <v>0.5</v>
      </c>
      <c r="I5" s="22" t="n">
        <v>1.5</v>
      </c>
      <c r="J5" s="22" t="n">
        <v>0</v>
      </c>
      <c r="K5" s="22" t="n">
        <v>0</v>
      </c>
      <c r="L5" s="22" t="n">
        <v>0.2</v>
      </c>
      <c r="M5" s="23" t="n">
        <f aca="false">SUM(H5:L5)</f>
        <v>2.2</v>
      </c>
      <c r="N5" s="23" t="n">
        <f aca="false">SUM(I5:K5)</f>
        <v>1.5</v>
      </c>
      <c r="O5" s="18" t="s">
        <v>59</v>
      </c>
      <c r="P5" s="19" t="s">
        <v>119</v>
      </c>
      <c r="Q5" s="18"/>
    </row>
    <row r="6" customFormat="false" ht="23.85" hidden="false" customHeight="false" outlineLevel="0" collapsed="false">
      <c r="A6" s="19" t="s">
        <v>123</v>
      </c>
      <c r="B6" s="18" t="s">
        <v>113</v>
      </c>
      <c r="C6" s="18" t="s">
        <v>124</v>
      </c>
      <c r="D6" s="18" t="s">
        <v>125</v>
      </c>
      <c r="E6" s="18" t="s">
        <v>116</v>
      </c>
      <c r="F6" s="19" t="s">
        <v>117</v>
      </c>
      <c r="G6" s="19" t="s">
        <v>118</v>
      </c>
      <c r="H6" s="22" t="n">
        <v>0.5</v>
      </c>
      <c r="I6" s="22" t="n">
        <v>0</v>
      </c>
      <c r="J6" s="22" t="n">
        <v>2</v>
      </c>
      <c r="K6" s="22" t="n">
        <v>0</v>
      </c>
      <c r="L6" s="22" t="n">
        <v>0.2</v>
      </c>
      <c r="M6" s="23" t="n">
        <f aca="false">SUM(H6:L6)</f>
        <v>2.7</v>
      </c>
      <c r="N6" s="23" t="n">
        <f aca="false">SUM(I6:K6)</f>
        <v>2</v>
      </c>
      <c r="O6" s="18" t="s">
        <v>59</v>
      </c>
      <c r="P6" s="19" t="s">
        <v>119</v>
      </c>
      <c r="Q6" s="18"/>
    </row>
    <row r="7" customFormat="false" ht="23.85" hidden="false" customHeight="false" outlineLevel="0" collapsed="false">
      <c r="A7" s="19" t="s">
        <v>126</v>
      </c>
      <c r="B7" s="18" t="s">
        <v>113</v>
      </c>
      <c r="C7" s="18" t="s">
        <v>127</v>
      </c>
      <c r="D7" s="18" t="s">
        <v>128</v>
      </c>
      <c r="E7" s="18" t="s">
        <v>129</v>
      </c>
      <c r="F7" s="19" t="s">
        <v>117</v>
      </c>
      <c r="G7" s="19" t="s">
        <v>130</v>
      </c>
      <c r="H7" s="22" t="n">
        <v>0.75</v>
      </c>
      <c r="I7" s="22" t="n">
        <v>0.25</v>
      </c>
      <c r="J7" s="22" t="n">
        <v>0.5</v>
      </c>
      <c r="K7" s="22" t="n">
        <v>0</v>
      </c>
      <c r="L7" s="22" t="n">
        <v>0.2</v>
      </c>
      <c r="M7" s="23" t="n">
        <f aca="false">SUM(H7:L7)</f>
        <v>1.7</v>
      </c>
      <c r="N7" s="23" t="n">
        <f aca="false">SUM(I7:K7)</f>
        <v>0.75</v>
      </c>
      <c r="O7" s="18" t="s">
        <v>59</v>
      </c>
      <c r="P7" s="19" t="s">
        <v>119</v>
      </c>
      <c r="Q7" s="18"/>
    </row>
    <row r="8" customFormat="false" ht="15" hidden="false" customHeight="false" outlineLevel="0" collapsed="false">
      <c r="A8" s="19" t="s">
        <v>131</v>
      </c>
      <c r="B8" s="18" t="s">
        <v>113</v>
      </c>
      <c r="C8" s="18" t="s">
        <v>132</v>
      </c>
      <c r="D8" s="18" t="s">
        <v>133</v>
      </c>
      <c r="E8" s="18" t="s">
        <v>87</v>
      </c>
      <c r="F8" s="19" t="s">
        <v>134</v>
      </c>
      <c r="G8" s="19" t="s">
        <v>135</v>
      </c>
      <c r="H8" s="22" t="n">
        <v>0</v>
      </c>
      <c r="I8" s="22" t="n">
        <v>0.75</v>
      </c>
      <c r="J8" s="22" t="n">
        <v>0.25</v>
      </c>
      <c r="K8" s="22" t="n">
        <v>0.25</v>
      </c>
      <c r="L8" s="22" t="n">
        <v>0.2</v>
      </c>
      <c r="M8" s="23" t="n">
        <f aca="false">SUM(H8:L8)</f>
        <v>1.45</v>
      </c>
      <c r="N8" s="23" t="n">
        <f aca="false">SUM(I8:K8)</f>
        <v>1.25</v>
      </c>
      <c r="O8" s="18" t="s">
        <v>59</v>
      </c>
      <c r="P8" s="19" t="s">
        <v>119</v>
      </c>
      <c r="Q8" s="18" t="s">
        <v>136</v>
      </c>
    </row>
    <row r="9" customFormat="false" ht="15" hidden="false" customHeight="false" outlineLevel="0" collapsed="false">
      <c r="A9" s="19" t="s">
        <v>137</v>
      </c>
      <c r="B9" s="18" t="s">
        <v>113</v>
      </c>
      <c r="C9" s="18" t="s">
        <v>138</v>
      </c>
      <c r="D9" s="18" t="s">
        <v>139</v>
      </c>
      <c r="E9" s="18" t="s">
        <v>129</v>
      </c>
      <c r="F9" s="19" t="s">
        <v>134</v>
      </c>
      <c r="G9" s="19" t="s">
        <v>135</v>
      </c>
      <c r="H9" s="22" t="n">
        <v>0.25</v>
      </c>
      <c r="I9" s="22" t="n">
        <v>0.25</v>
      </c>
      <c r="J9" s="22" t="n">
        <v>1</v>
      </c>
      <c r="K9" s="22" t="n">
        <v>0</v>
      </c>
      <c r="L9" s="22" t="n">
        <v>0.2</v>
      </c>
      <c r="M9" s="23" t="n">
        <f aca="false">SUM(H9:L9)</f>
        <v>1.7</v>
      </c>
      <c r="N9" s="23" t="n">
        <f aca="false">SUM(I9:K9)</f>
        <v>1.25</v>
      </c>
      <c r="O9" s="18" t="s">
        <v>59</v>
      </c>
      <c r="P9" s="19" t="s">
        <v>119</v>
      </c>
      <c r="Q9" s="18" t="s">
        <v>136</v>
      </c>
    </row>
    <row r="10" customFormat="false" ht="23.85" hidden="false" customHeight="false" outlineLevel="0" collapsed="false">
      <c r="A10" s="19" t="s">
        <v>140</v>
      </c>
      <c r="B10" s="18" t="s">
        <v>113</v>
      </c>
      <c r="C10" s="18" t="s">
        <v>141</v>
      </c>
      <c r="D10" s="18" t="s">
        <v>142</v>
      </c>
      <c r="E10" s="18" t="s">
        <v>116</v>
      </c>
      <c r="F10" s="19" t="s">
        <v>117</v>
      </c>
      <c r="G10" s="19" t="s">
        <v>143</v>
      </c>
      <c r="H10" s="22" t="n">
        <v>0</v>
      </c>
      <c r="I10" s="22" t="n">
        <v>1.5</v>
      </c>
      <c r="J10" s="22" t="n">
        <v>0.25</v>
      </c>
      <c r="K10" s="22" t="n">
        <v>0</v>
      </c>
      <c r="L10" s="22" t="n">
        <v>0.6</v>
      </c>
      <c r="M10" s="23" t="n">
        <f aca="false">SUM(H10:L10)</f>
        <v>2.35</v>
      </c>
      <c r="N10" s="23" t="n">
        <f aca="false">SUM(I10:K10)</f>
        <v>1.75</v>
      </c>
      <c r="O10" s="18" t="s">
        <v>59</v>
      </c>
      <c r="P10" s="19" t="s">
        <v>119</v>
      </c>
      <c r="Q10" s="18"/>
    </row>
    <row r="11" customFormat="false" ht="15" hidden="false" customHeight="false" outlineLevel="0" collapsed="false">
      <c r="A11" s="19" t="s">
        <v>144</v>
      </c>
      <c r="B11" s="18" t="s">
        <v>113</v>
      </c>
      <c r="C11" s="18" t="s">
        <v>145</v>
      </c>
      <c r="D11" s="18" t="s">
        <v>146</v>
      </c>
      <c r="E11" s="18" t="s">
        <v>116</v>
      </c>
      <c r="F11" s="19" t="s">
        <v>117</v>
      </c>
      <c r="G11" s="19" t="s">
        <v>143</v>
      </c>
      <c r="H11" s="22" t="n">
        <v>0</v>
      </c>
      <c r="I11" s="22" t="n">
        <v>0.5</v>
      </c>
      <c r="J11" s="22" t="n">
        <v>0.25</v>
      </c>
      <c r="K11" s="22" t="n">
        <v>0</v>
      </c>
      <c r="L11" s="22" t="n">
        <v>0.8</v>
      </c>
      <c r="M11" s="23" t="n">
        <f aca="false">SUM(H11:L11)</f>
        <v>1.55</v>
      </c>
      <c r="N11" s="23" t="n">
        <f aca="false">SUM(I11:K11)</f>
        <v>0.75</v>
      </c>
      <c r="O11" s="18" t="s">
        <v>59</v>
      </c>
      <c r="P11" s="19" t="s">
        <v>119</v>
      </c>
      <c r="Q11" s="18"/>
    </row>
    <row r="12" customFormat="false" ht="15" hidden="false" customHeight="false" outlineLevel="0" collapsed="false">
      <c r="A12" s="19" t="s">
        <v>147</v>
      </c>
      <c r="B12" s="18" t="s">
        <v>113</v>
      </c>
      <c r="C12" s="18" t="s">
        <v>148</v>
      </c>
      <c r="D12" s="18" t="s">
        <v>149</v>
      </c>
      <c r="E12" s="18" t="s">
        <v>150</v>
      </c>
      <c r="F12" s="19" t="s">
        <v>117</v>
      </c>
      <c r="G12" s="19" t="s">
        <v>143</v>
      </c>
      <c r="H12" s="22" t="n">
        <v>1.5</v>
      </c>
      <c r="I12" s="22" t="n">
        <v>1.5</v>
      </c>
      <c r="J12" s="22" t="n">
        <v>1.5</v>
      </c>
      <c r="K12" s="22" t="n">
        <v>0.5</v>
      </c>
      <c r="L12" s="22" t="n">
        <v>1.6</v>
      </c>
      <c r="M12" s="23" t="n">
        <f aca="false">SUM(H12:L12)</f>
        <v>6.6</v>
      </c>
      <c r="N12" s="23" t="n">
        <f aca="false">SUM(I12:K12)</f>
        <v>3.5</v>
      </c>
      <c r="O12" s="18" t="s">
        <v>59</v>
      </c>
      <c r="P12" s="19" t="s">
        <v>119</v>
      </c>
      <c r="Q12" s="18"/>
    </row>
    <row r="13" customFormat="false" ht="15" hidden="false" customHeight="false" outlineLevel="0" collapsed="false">
      <c r="A13" s="19" t="s">
        <v>151</v>
      </c>
      <c r="B13" s="18" t="s">
        <v>113</v>
      </c>
      <c r="C13" s="18" t="s">
        <v>152</v>
      </c>
      <c r="D13" s="18" t="s">
        <v>153</v>
      </c>
      <c r="E13" s="18" t="s">
        <v>102</v>
      </c>
      <c r="F13" s="19" t="s">
        <v>117</v>
      </c>
      <c r="G13" s="19" t="s">
        <v>143</v>
      </c>
      <c r="H13" s="22" t="n">
        <v>2</v>
      </c>
      <c r="I13" s="22" t="n">
        <v>0.25</v>
      </c>
      <c r="J13" s="22" t="n">
        <v>0.25</v>
      </c>
      <c r="K13" s="22" t="n">
        <v>0.25</v>
      </c>
      <c r="L13" s="22" t="n">
        <v>0.2</v>
      </c>
      <c r="M13" s="23" t="n">
        <f aca="false">SUM(H13:L13)</f>
        <v>2.95</v>
      </c>
      <c r="N13" s="23" t="n">
        <f aca="false">SUM(I13:K13)</f>
        <v>0.75</v>
      </c>
      <c r="O13" s="18" t="s">
        <v>59</v>
      </c>
      <c r="P13" s="19" t="s">
        <v>119</v>
      </c>
      <c r="Q13" s="18"/>
    </row>
    <row r="14" customFormat="false" ht="15" hidden="false" customHeight="false" outlineLevel="0" collapsed="false">
      <c r="A14" s="19" t="s">
        <v>154</v>
      </c>
      <c r="B14" s="18" t="s">
        <v>113</v>
      </c>
      <c r="C14" s="18" t="s">
        <v>155</v>
      </c>
      <c r="D14" s="18" t="s">
        <v>156</v>
      </c>
      <c r="E14" s="18" t="s">
        <v>129</v>
      </c>
      <c r="F14" s="19" t="s">
        <v>157</v>
      </c>
      <c r="G14" s="19" t="s">
        <v>135</v>
      </c>
      <c r="H14" s="22" t="n">
        <v>0.25</v>
      </c>
      <c r="I14" s="22" t="n">
        <v>0.25</v>
      </c>
      <c r="J14" s="22" t="n">
        <v>1.5</v>
      </c>
      <c r="K14" s="22" t="n">
        <v>0</v>
      </c>
      <c r="L14" s="22" t="n">
        <v>0.4</v>
      </c>
      <c r="M14" s="23" t="n">
        <f aca="false">SUM(H14:L14)</f>
        <v>2.4</v>
      </c>
      <c r="N14" s="23" t="n">
        <f aca="false">SUM(I14:K14)</f>
        <v>1.75</v>
      </c>
      <c r="O14" s="18" t="s">
        <v>59</v>
      </c>
      <c r="P14" s="19" t="s">
        <v>119</v>
      </c>
      <c r="Q14" s="18" t="s">
        <v>136</v>
      </c>
    </row>
    <row r="15" customFormat="false" ht="15" hidden="false" customHeight="false" outlineLevel="0" collapsed="false">
      <c r="A15" s="19" t="s">
        <v>158</v>
      </c>
      <c r="B15" s="18" t="s">
        <v>159</v>
      </c>
      <c r="C15" s="18" t="s">
        <v>160</v>
      </c>
      <c r="D15" s="18" t="s">
        <v>161</v>
      </c>
      <c r="E15" s="18" t="s">
        <v>56</v>
      </c>
      <c r="F15" s="19" t="s">
        <v>117</v>
      </c>
      <c r="G15" s="19" t="s">
        <v>118</v>
      </c>
      <c r="H15" s="22" t="n">
        <v>0.25</v>
      </c>
      <c r="I15" s="22" t="n">
        <v>0.75</v>
      </c>
      <c r="J15" s="22" t="n">
        <v>0.5</v>
      </c>
      <c r="K15" s="22" t="n">
        <v>0</v>
      </c>
      <c r="L15" s="22" t="n">
        <v>0.2</v>
      </c>
      <c r="M15" s="23" t="n">
        <f aca="false">SUM(H15:L15)</f>
        <v>1.7</v>
      </c>
      <c r="N15" s="23" t="n">
        <f aca="false">SUM(I15:K15)</f>
        <v>1.25</v>
      </c>
      <c r="O15" s="18" t="s">
        <v>162</v>
      </c>
      <c r="P15" s="19" t="s">
        <v>119</v>
      </c>
      <c r="Q15" s="18"/>
    </row>
    <row r="16" customFormat="false" ht="15" hidden="false" customHeight="false" outlineLevel="0" collapsed="false">
      <c r="A16" s="19" t="s">
        <v>163</v>
      </c>
      <c r="B16" s="18" t="s">
        <v>159</v>
      </c>
      <c r="C16" s="18" t="s">
        <v>164</v>
      </c>
      <c r="D16" s="18" t="s">
        <v>165</v>
      </c>
      <c r="E16" s="18" t="s">
        <v>166</v>
      </c>
      <c r="F16" s="19" t="s">
        <v>117</v>
      </c>
      <c r="G16" s="19" t="s">
        <v>118</v>
      </c>
      <c r="H16" s="22" t="n">
        <v>0.25</v>
      </c>
      <c r="I16" s="22" t="n">
        <v>0.75</v>
      </c>
      <c r="J16" s="22" t="n">
        <v>0.5</v>
      </c>
      <c r="K16" s="22" t="n">
        <v>0</v>
      </c>
      <c r="L16" s="22" t="n">
        <v>0.2</v>
      </c>
      <c r="M16" s="23" t="n">
        <f aca="false">SUM(H16:L16)</f>
        <v>1.7</v>
      </c>
      <c r="N16" s="23" t="n">
        <f aca="false">SUM(I16:K16)</f>
        <v>1.25</v>
      </c>
      <c r="O16" s="18" t="s">
        <v>167</v>
      </c>
      <c r="P16" s="19" t="s">
        <v>119</v>
      </c>
      <c r="Q16" s="18"/>
    </row>
    <row r="17" customFormat="false" ht="15" hidden="false" customHeight="false" outlineLevel="0" collapsed="false">
      <c r="A17" s="19" t="s">
        <v>168</v>
      </c>
      <c r="B17" s="18" t="s">
        <v>159</v>
      </c>
      <c r="C17" s="18" t="s">
        <v>169</v>
      </c>
      <c r="D17" s="18" t="s">
        <v>170</v>
      </c>
      <c r="E17" s="18" t="s">
        <v>61</v>
      </c>
      <c r="F17" s="19" t="s">
        <v>117</v>
      </c>
      <c r="G17" s="19" t="s">
        <v>171</v>
      </c>
      <c r="H17" s="22" t="n">
        <v>0.25</v>
      </c>
      <c r="I17" s="22" t="n">
        <v>0.5</v>
      </c>
      <c r="J17" s="22" t="n">
        <v>0.25</v>
      </c>
      <c r="K17" s="22" t="n">
        <v>0</v>
      </c>
      <c r="L17" s="22" t="n">
        <v>0.2</v>
      </c>
      <c r="M17" s="23" t="n">
        <f aca="false">SUM(H17:L17)</f>
        <v>1.2</v>
      </c>
      <c r="N17" s="23" t="n">
        <f aca="false">SUM(I17:K17)</f>
        <v>0.75</v>
      </c>
      <c r="O17" s="18" t="s">
        <v>167</v>
      </c>
      <c r="P17" s="19" t="s">
        <v>119</v>
      </c>
      <c r="Q17" s="18"/>
    </row>
    <row r="18" customFormat="false" ht="15" hidden="false" customHeight="false" outlineLevel="0" collapsed="false">
      <c r="A18" s="19" t="s">
        <v>172</v>
      </c>
      <c r="B18" s="18" t="s">
        <v>159</v>
      </c>
      <c r="C18" s="18" t="s">
        <v>173</v>
      </c>
      <c r="D18" s="18" t="s">
        <v>174</v>
      </c>
      <c r="E18" s="18" t="s">
        <v>56</v>
      </c>
      <c r="F18" s="19" t="s">
        <v>134</v>
      </c>
      <c r="G18" s="19" t="s">
        <v>135</v>
      </c>
      <c r="H18" s="22" t="n">
        <v>0.25</v>
      </c>
      <c r="I18" s="22" t="n">
        <v>0.75</v>
      </c>
      <c r="J18" s="22" t="n">
        <v>0.25</v>
      </c>
      <c r="K18" s="22" t="n">
        <v>0</v>
      </c>
      <c r="L18" s="22" t="n">
        <v>0.2</v>
      </c>
      <c r="M18" s="23" t="n">
        <f aca="false">SUM(H18:L18)</f>
        <v>1.45</v>
      </c>
      <c r="N18" s="23" t="n">
        <f aca="false">SUM(I18:K18)</f>
        <v>1</v>
      </c>
      <c r="O18" s="18" t="s">
        <v>59</v>
      </c>
      <c r="P18" s="19" t="s">
        <v>119</v>
      </c>
      <c r="Q18" s="18" t="s">
        <v>136</v>
      </c>
    </row>
    <row r="19" customFormat="false" ht="15" hidden="false" customHeight="false" outlineLevel="0" collapsed="false">
      <c r="A19" s="19" t="s">
        <v>175</v>
      </c>
      <c r="B19" s="18" t="s">
        <v>159</v>
      </c>
      <c r="C19" s="18" t="s">
        <v>47</v>
      </c>
      <c r="D19" s="18" t="s">
        <v>176</v>
      </c>
      <c r="E19" s="18" t="s">
        <v>61</v>
      </c>
      <c r="F19" s="19" t="s">
        <v>134</v>
      </c>
      <c r="G19" s="19" t="s">
        <v>135</v>
      </c>
      <c r="H19" s="22" t="n">
        <v>0.25</v>
      </c>
      <c r="I19" s="22" t="n">
        <v>0.25</v>
      </c>
      <c r="J19" s="22" t="n">
        <v>0.75</v>
      </c>
      <c r="K19" s="22" t="n">
        <v>0</v>
      </c>
      <c r="L19" s="22" t="n">
        <v>0.2</v>
      </c>
      <c r="M19" s="23" t="n">
        <f aca="false">SUM(H19:L19)</f>
        <v>1.45</v>
      </c>
      <c r="N19" s="23" t="n">
        <f aca="false">SUM(I19:K19)</f>
        <v>1</v>
      </c>
      <c r="O19" s="18" t="s">
        <v>59</v>
      </c>
      <c r="P19" s="19" t="s">
        <v>119</v>
      </c>
      <c r="Q19" s="18" t="s">
        <v>136</v>
      </c>
    </row>
    <row r="20" customFormat="false" ht="15" hidden="false" customHeight="false" outlineLevel="0" collapsed="false">
      <c r="A20" s="19" t="s">
        <v>177</v>
      </c>
      <c r="B20" s="18" t="s">
        <v>159</v>
      </c>
      <c r="C20" s="18" t="s">
        <v>178</v>
      </c>
      <c r="D20" s="18" t="s">
        <v>179</v>
      </c>
      <c r="E20" s="18" t="s">
        <v>66</v>
      </c>
      <c r="F20" s="19" t="s">
        <v>157</v>
      </c>
      <c r="G20" s="19" t="s">
        <v>135</v>
      </c>
      <c r="H20" s="22" t="n">
        <v>0.25</v>
      </c>
      <c r="I20" s="22" t="n">
        <v>1</v>
      </c>
      <c r="J20" s="22" t="n">
        <v>0.5</v>
      </c>
      <c r="K20" s="22" t="n">
        <v>0</v>
      </c>
      <c r="L20" s="22" t="n">
        <v>0.4</v>
      </c>
      <c r="M20" s="23" t="n">
        <f aca="false">SUM(H20:L20)</f>
        <v>2.15</v>
      </c>
      <c r="N20" s="23" t="n">
        <f aca="false">SUM(I20:K20)</f>
        <v>1.5</v>
      </c>
      <c r="O20" s="18" t="s">
        <v>59</v>
      </c>
      <c r="P20" s="19" t="s">
        <v>119</v>
      </c>
      <c r="Q20" s="18" t="s">
        <v>136</v>
      </c>
    </row>
    <row r="21" customFormat="false" ht="15" hidden="false" customHeight="false" outlineLevel="0" collapsed="false">
      <c r="A21" s="19" t="s">
        <v>180</v>
      </c>
      <c r="B21" s="18" t="s">
        <v>159</v>
      </c>
      <c r="C21" s="18" t="s">
        <v>181</v>
      </c>
      <c r="D21" s="18" t="s">
        <v>182</v>
      </c>
      <c r="E21" s="18" t="s">
        <v>56</v>
      </c>
      <c r="F21" s="19" t="s">
        <v>157</v>
      </c>
      <c r="G21" s="19" t="s">
        <v>135</v>
      </c>
      <c r="H21" s="22" t="n">
        <v>0.25</v>
      </c>
      <c r="I21" s="22" t="n">
        <v>1</v>
      </c>
      <c r="J21" s="22" t="n">
        <v>0.5</v>
      </c>
      <c r="K21" s="22" t="n">
        <v>0</v>
      </c>
      <c r="L21" s="22" t="n">
        <v>0.4</v>
      </c>
      <c r="M21" s="23" t="n">
        <f aca="false">SUM(H21:L21)</f>
        <v>2.15</v>
      </c>
      <c r="N21" s="23" t="n">
        <f aca="false">SUM(I21:K21)</f>
        <v>1.5</v>
      </c>
      <c r="O21" s="18" t="s">
        <v>59</v>
      </c>
      <c r="P21" s="19" t="s">
        <v>119</v>
      </c>
      <c r="Q21" s="18" t="s">
        <v>136</v>
      </c>
    </row>
    <row r="22" customFormat="false" ht="23.85" hidden="false" customHeight="false" outlineLevel="0" collapsed="false">
      <c r="A22" s="19" t="s">
        <v>183</v>
      </c>
      <c r="B22" s="18" t="s">
        <v>184</v>
      </c>
      <c r="C22" s="18" t="s">
        <v>185</v>
      </c>
      <c r="D22" s="18" t="s">
        <v>186</v>
      </c>
      <c r="E22" s="18" t="s">
        <v>87</v>
      </c>
      <c r="F22" s="19" t="s">
        <v>117</v>
      </c>
      <c r="G22" s="19" t="s">
        <v>118</v>
      </c>
      <c r="H22" s="22" t="n">
        <v>1</v>
      </c>
      <c r="I22" s="22" t="n">
        <v>1.5</v>
      </c>
      <c r="J22" s="22" t="n">
        <v>0.25</v>
      </c>
      <c r="K22" s="22" t="n">
        <v>0</v>
      </c>
      <c r="L22" s="22" t="n">
        <v>0.4</v>
      </c>
      <c r="M22" s="23" t="n">
        <f aca="false">SUM(H22:L22)</f>
        <v>3.15</v>
      </c>
      <c r="N22" s="23" t="n">
        <f aca="false">SUM(I22:K22)</f>
        <v>1.75</v>
      </c>
      <c r="O22" s="18" t="s">
        <v>187</v>
      </c>
      <c r="P22" s="19" t="s">
        <v>119</v>
      </c>
      <c r="Q22" s="18"/>
    </row>
    <row r="23" customFormat="false" ht="15" hidden="false" customHeight="false" outlineLevel="0" collapsed="false">
      <c r="A23" s="19" t="s">
        <v>188</v>
      </c>
      <c r="B23" s="18" t="s">
        <v>184</v>
      </c>
      <c r="C23" s="18" t="s">
        <v>189</v>
      </c>
      <c r="D23" s="18" t="s">
        <v>190</v>
      </c>
      <c r="E23" s="18" t="s">
        <v>87</v>
      </c>
      <c r="F23" s="19" t="s">
        <v>117</v>
      </c>
      <c r="G23" s="19" t="s">
        <v>171</v>
      </c>
      <c r="H23" s="22" t="n">
        <v>0.25</v>
      </c>
      <c r="I23" s="22" t="n">
        <v>0.5</v>
      </c>
      <c r="J23" s="22" t="n">
        <v>1</v>
      </c>
      <c r="K23" s="22" t="n">
        <v>0</v>
      </c>
      <c r="L23" s="22" t="n">
        <v>0.2</v>
      </c>
      <c r="M23" s="23" t="n">
        <f aca="false">SUM(H23:L23)</f>
        <v>1.95</v>
      </c>
      <c r="N23" s="23" t="n">
        <f aca="false">SUM(I23:K23)</f>
        <v>1.5</v>
      </c>
      <c r="O23" s="18" t="s">
        <v>187</v>
      </c>
      <c r="P23" s="19" t="s">
        <v>119</v>
      </c>
      <c r="Q23" s="18"/>
    </row>
    <row r="24" customFormat="false" ht="15" hidden="false" customHeight="false" outlineLevel="0" collapsed="false">
      <c r="A24" s="19" t="s">
        <v>191</v>
      </c>
      <c r="B24" s="18" t="s">
        <v>184</v>
      </c>
      <c r="C24" s="18" t="s">
        <v>192</v>
      </c>
      <c r="D24" s="18" t="s">
        <v>193</v>
      </c>
      <c r="E24" s="18" t="s">
        <v>92</v>
      </c>
      <c r="F24" s="19" t="s">
        <v>134</v>
      </c>
      <c r="G24" s="19" t="s">
        <v>135</v>
      </c>
      <c r="H24" s="22" t="n">
        <v>0.25</v>
      </c>
      <c r="I24" s="22" t="n">
        <v>0.75</v>
      </c>
      <c r="J24" s="22" t="n">
        <v>0.75</v>
      </c>
      <c r="K24" s="22" t="n">
        <v>0</v>
      </c>
      <c r="L24" s="22" t="n">
        <v>0.2</v>
      </c>
      <c r="M24" s="23" t="n">
        <f aca="false">SUM(H24:L24)</f>
        <v>1.95</v>
      </c>
      <c r="N24" s="23" t="n">
        <f aca="false">SUM(I24:K24)</f>
        <v>1.5</v>
      </c>
      <c r="O24" s="18" t="s">
        <v>59</v>
      </c>
      <c r="P24" s="19" t="s">
        <v>119</v>
      </c>
      <c r="Q24" s="18" t="s">
        <v>136</v>
      </c>
    </row>
    <row r="25" customFormat="false" ht="15" hidden="false" customHeight="false" outlineLevel="0" collapsed="false">
      <c r="A25" s="19" t="s">
        <v>194</v>
      </c>
      <c r="B25" s="18" t="s">
        <v>184</v>
      </c>
      <c r="C25" s="18" t="s">
        <v>55</v>
      </c>
      <c r="D25" s="18" t="s">
        <v>195</v>
      </c>
      <c r="E25" s="18" t="s">
        <v>87</v>
      </c>
      <c r="F25" s="19" t="s">
        <v>134</v>
      </c>
      <c r="G25" s="19" t="s">
        <v>143</v>
      </c>
      <c r="H25" s="22" t="n">
        <v>0.25</v>
      </c>
      <c r="I25" s="22" t="n">
        <v>0.75</v>
      </c>
      <c r="J25" s="22" t="n">
        <v>0.5</v>
      </c>
      <c r="K25" s="22" t="n">
        <v>0</v>
      </c>
      <c r="L25" s="22" t="n">
        <v>0.2</v>
      </c>
      <c r="M25" s="23" t="n">
        <f aca="false">SUM(H25:L25)</f>
        <v>1.7</v>
      </c>
      <c r="N25" s="23" t="n">
        <f aca="false">SUM(I25:K25)</f>
        <v>1.25</v>
      </c>
      <c r="O25" s="18" t="s">
        <v>196</v>
      </c>
      <c r="P25" s="19" t="s">
        <v>119</v>
      </c>
      <c r="Q25" s="18"/>
    </row>
    <row r="26" customFormat="false" ht="15" hidden="false" customHeight="false" outlineLevel="0" collapsed="false">
      <c r="A26" s="19" t="s">
        <v>197</v>
      </c>
      <c r="B26" s="18" t="s">
        <v>184</v>
      </c>
      <c r="C26" s="18" t="s">
        <v>198</v>
      </c>
      <c r="D26" s="18" t="s">
        <v>199</v>
      </c>
      <c r="E26" s="18" t="s">
        <v>87</v>
      </c>
      <c r="F26" s="19" t="s">
        <v>117</v>
      </c>
      <c r="G26" s="19" t="s">
        <v>200</v>
      </c>
      <c r="H26" s="22" t="n">
        <v>0.5</v>
      </c>
      <c r="I26" s="22" t="n">
        <v>1</v>
      </c>
      <c r="J26" s="22" t="n">
        <v>1.5</v>
      </c>
      <c r="K26" s="22" t="n">
        <v>0</v>
      </c>
      <c r="L26" s="22" t="n">
        <v>0.4</v>
      </c>
      <c r="M26" s="23" t="n">
        <f aca="false">SUM(H26:L26)</f>
        <v>3.4</v>
      </c>
      <c r="N26" s="23" t="n">
        <f aca="false">SUM(I26:K26)</f>
        <v>2.5</v>
      </c>
      <c r="O26" s="18" t="s">
        <v>201</v>
      </c>
      <c r="P26" s="19" t="s">
        <v>119</v>
      </c>
      <c r="Q26" s="18"/>
    </row>
    <row r="27" customFormat="false" ht="15" hidden="false" customHeight="false" outlineLevel="0" collapsed="false">
      <c r="A27" s="19" t="s">
        <v>202</v>
      </c>
      <c r="B27" s="18" t="s">
        <v>184</v>
      </c>
      <c r="C27" s="18" t="s">
        <v>54</v>
      </c>
      <c r="D27" s="18" t="s">
        <v>203</v>
      </c>
      <c r="E27" s="18" t="s">
        <v>87</v>
      </c>
      <c r="F27" s="19" t="s">
        <v>134</v>
      </c>
      <c r="G27" s="19" t="s">
        <v>135</v>
      </c>
      <c r="H27" s="22" t="n">
        <v>0.25</v>
      </c>
      <c r="I27" s="22" t="n">
        <v>0.75</v>
      </c>
      <c r="J27" s="22" t="n">
        <v>0.75</v>
      </c>
      <c r="K27" s="22" t="n">
        <v>0</v>
      </c>
      <c r="L27" s="22" t="n">
        <v>0.2</v>
      </c>
      <c r="M27" s="23" t="n">
        <f aca="false">SUM(H27:L27)</f>
        <v>1.95</v>
      </c>
      <c r="N27" s="23" t="n">
        <f aca="false">SUM(I27:K27)</f>
        <v>1.5</v>
      </c>
      <c r="O27" s="18" t="s">
        <v>59</v>
      </c>
      <c r="P27" s="19" t="s">
        <v>119</v>
      </c>
      <c r="Q27" s="18" t="s">
        <v>136</v>
      </c>
    </row>
    <row r="28" customFormat="false" ht="15" hidden="false" customHeight="false" outlineLevel="0" collapsed="false">
      <c r="A28" s="19" t="s">
        <v>204</v>
      </c>
      <c r="B28" s="18" t="s">
        <v>184</v>
      </c>
      <c r="C28" s="18" t="s">
        <v>205</v>
      </c>
      <c r="D28" s="18" t="s">
        <v>206</v>
      </c>
      <c r="E28" s="18" t="s">
        <v>72</v>
      </c>
      <c r="F28" s="19" t="s">
        <v>134</v>
      </c>
      <c r="G28" s="19" t="s">
        <v>135</v>
      </c>
      <c r="H28" s="22" t="n">
        <v>0.25</v>
      </c>
      <c r="I28" s="22" t="n">
        <v>0.5</v>
      </c>
      <c r="J28" s="22" t="n">
        <v>1</v>
      </c>
      <c r="K28" s="22" t="n">
        <v>0</v>
      </c>
      <c r="L28" s="22" t="n">
        <v>0.2</v>
      </c>
      <c r="M28" s="23" t="n">
        <f aca="false">SUM(H28:L28)</f>
        <v>1.95</v>
      </c>
      <c r="N28" s="23" t="n">
        <f aca="false">SUM(I28:K28)</f>
        <v>1.5</v>
      </c>
      <c r="O28" s="18" t="s">
        <v>59</v>
      </c>
      <c r="P28" s="19" t="s">
        <v>119</v>
      </c>
      <c r="Q28" s="18" t="s">
        <v>136</v>
      </c>
    </row>
    <row r="29" customFormat="false" ht="15" hidden="false" customHeight="false" outlineLevel="0" collapsed="false">
      <c r="A29" s="19" t="s">
        <v>207</v>
      </c>
      <c r="B29" s="18" t="s">
        <v>184</v>
      </c>
      <c r="C29" s="18" t="s">
        <v>208</v>
      </c>
      <c r="D29" s="18" t="s">
        <v>209</v>
      </c>
      <c r="E29" s="18" t="s">
        <v>84</v>
      </c>
      <c r="F29" s="19" t="s">
        <v>157</v>
      </c>
      <c r="G29" s="19" t="s">
        <v>135</v>
      </c>
      <c r="H29" s="22" t="n">
        <v>0.5</v>
      </c>
      <c r="I29" s="22" t="n">
        <v>1</v>
      </c>
      <c r="J29" s="22" t="n">
        <v>1</v>
      </c>
      <c r="K29" s="22" t="n">
        <v>0</v>
      </c>
      <c r="L29" s="22" t="n">
        <v>0.4</v>
      </c>
      <c r="M29" s="23" t="n">
        <f aca="false">SUM(H29:L29)</f>
        <v>2.9</v>
      </c>
      <c r="N29" s="23" t="n">
        <f aca="false">SUM(I29:K29)</f>
        <v>2</v>
      </c>
      <c r="O29" s="18" t="s">
        <v>59</v>
      </c>
      <c r="P29" s="19" t="s">
        <v>119</v>
      </c>
      <c r="Q29" s="18" t="s">
        <v>136</v>
      </c>
    </row>
    <row r="30" customFormat="false" ht="15" hidden="false" customHeight="false" outlineLevel="0" collapsed="false">
      <c r="A30" s="19" t="s">
        <v>210</v>
      </c>
      <c r="B30" s="18" t="s">
        <v>211</v>
      </c>
      <c r="C30" s="18" t="s">
        <v>212</v>
      </c>
      <c r="D30" s="18" t="s">
        <v>213</v>
      </c>
      <c r="E30" s="18" t="s">
        <v>72</v>
      </c>
      <c r="F30" s="19" t="s">
        <v>117</v>
      </c>
      <c r="G30" s="19" t="s">
        <v>171</v>
      </c>
      <c r="H30" s="22" t="n">
        <v>0.75</v>
      </c>
      <c r="I30" s="22" t="n">
        <v>1</v>
      </c>
      <c r="J30" s="22" t="n">
        <v>1.5</v>
      </c>
      <c r="K30" s="22" t="n">
        <v>0</v>
      </c>
      <c r="L30" s="22" t="n">
        <v>0.4</v>
      </c>
      <c r="M30" s="23" t="n">
        <f aca="false">SUM(H30:L30)</f>
        <v>3.65</v>
      </c>
      <c r="N30" s="23" t="n">
        <f aca="false">SUM(I30:K30)</f>
        <v>2.5</v>
      </c>
      <c r="O30" s="18" t="s">
        <v>214</v>
      </c>
      <c r="P30" s="19" t="s">
        <v>119</v>
      </c>
      <c r="Q30" s="18"/>
    </row>
    <row r="31" customFormat="false" ht="15" hidden="false" customHeight="false" outlineLevel="0" collapsed="false">
      <c r="A31" s="19" t="s">
        <v>215</v>
      </c>
      <c r="B31" s="18" t="s">
        <v>211</v>
      </c>
      <c r="C31" s="18" t="s">
        <v>216</v>
      </c>
      <c r="D31" s="18" t="s">
        <v>217</v>
      </c>
      <c r="E31" s="18" t="s">
        <v>72</v>
      </c>
      <c r="F31" s="19" t="s">
        <v>117</v>
      </c>
      <c r="G31" s="19" t="s">
        <v>171</v>
      </c>
      <c r="H31" s="22" t="n">
        <v>0.25</v>
      </c>
      <c r="I31" s="22" t="n">
        <v>0.75</v>
      </c>
      <c r="J31" s="22" t="n">
        <v>0.75</v>
      </c>
      <c r="K31" s="22" t="n">
        <v>0</v>
      </c>
      <c r="L31" s="22" t="n">
        <v>0.2</v>
      </c>
      <c r="M31" s="23" t="n">
        <f aca="false">SUM(H31:L31)</f>
        <v>1.95</v>
      </c>
      <c r="N31" s="23" t="n">
        <f aca="false">SUM(I31:K31)</f>
        <v>1.5</v>
      </c>
      <c r="O31" s="18" t="s">
        <v>218</v>
      </c>
      <c r="P31" s="19" t="s">
        <v>119</v>
      </c>
      <c r="Q31" s="18"/>
    </row>
    <row r="32" customFormat="false" ht="15" hidden="false" customHeight="false" outlineLevel="0" collapsed="false">
      <c r="A32" s="19" t="s">
        <v>219</v>
      </c>
      <c r="B32" s="18" t="s">
        <v>211</v>
      </c>
      <c r="C32" s="18" t="s">
        <v>220</v>
      </c>
      <c r="D32" s="18" t="s">
        <v>221</v>
      </c>
      <c r="E32" s="18" t="s">
        <v>72</v>
      </c>
      <c r="F32" s="19" t="s">
        <v>134</v>
      </c>
      <c r="G32" s="19" t="s">
        <v>135</v>
      </c>
      <c r="H32" s="22" t="n">
        <v>0.25</v>
      </c>
      <c r="I32" s="22" t="n">
        <v>0.25</v>
      </c>
      <c r="J32" s="22" t="n">
        <v>0.75</v>
      </c>
      <c r="K32" s="22" t="n">
        <v>0</v>
      </c>
      <c r="L32" s="22" t="n">
        <v>0.2</v>
      </c>
      <c r="M32" s="23" t="n">
        <f aca="false">SUM(H32:L32)</f>
        <v>1.45</v>
      </c>
      <c r="N32" s="23" t="n">
        <f aca="false">SUM(I32:K32)</f>
        <v>1</v>
      </c>
      <c r="O32" s="18" t="s">
        <v>59</v>
      </c>
      <c r="P32" s="19" t="s">
        <v>119</v>
      </c>
      <c r="Q32" s="18" t="s">
        <v>136</v>
      </c>
    </row>
    <row r="33" customFormat="false" ht="15" hidden="false" customHeight="false" outlineLevel="0" collapsed="false">
      <c r="A33" s="19" t="s">
        <v>222</v>
      </c>
      <c r="B33" s="18" t="s">
        <v>211</v>
      </c>
      <c r="C33" s="18" t="s">
        <v>223</v>
      </c>
      <c r="D33" s="18" t="s">
        <v>224</v>
      </c>
      <c r="E33" s="18" t="s">
        <v>72</v>
      </c>
      <c r="F33" s="19" t="s">
        <v>117</v>
      </c>
      <c r="G33" s="19" t="s">
        <v>225</v>
      </c>
      <c r="H33" s="22" t="n">
        <v>0.25</v>
      </c>
      <c r="I33" s="22" t="n">
        <v>0.75</v>
      </c>
      <c r="J33" s="22" t="n">
        <v>0.5</v>
      </c>
      <c r="K33" s="22" t="n">
        <v>0</v>
      </c>
      <c r="L33" s="22" t="n">
        <v>0.2</v>
      </c>
      <c r="M33" s="23" t="n">
        <f aca="false">SUM(H33:L33)</f>
        <v>1.7</v>
      </c>
      <c r="N33" s="23" t="n">
        <f aca="false">SUM(I33:K33)</f>
        <v>1.25</v>
      </c>
      <c r="O33" s="18" t="s">
        <v>226</v>
      </c>
      <c r="P33" s="19" t="s">
        <v>119</v>
      </c>
      <c r="Q33" s="18"/>
    </row>
    <row r="34" customFormat="false" ht="15" hidden="false" customHeight="false" outlineLevel="0" collapsed="false">
      <c r="A34" s="19" t="s">
        <v>227</v>
      </c>
      <c r="B34" s="18" t="s">
        <v>211</v>
      </c>
      <c r="C34" s="18" t="s">
        <v>228</v>
      </c>
      <c r="D34" s="18" t="s">
        <v>229</v>
      </c>
      <c r="E34" s="18" t="s">
        <v>72</v>
      </c>
      <c r="F34" s="19" t="s">
        <v>117</v>
      </c>
      <c r="G34" s="19" t="s">
        <v>225</v>
      </c>
      <c r="H34" s="22" t="n">
        <v>0.5</v>
      </c>
      <c r="I34" s="22" t="n">
        <v>0.75</v>
      </c>
      <c r="J34" s="22" t="n">
        <v>0.75</v>
      </c>
      <c r="K34" s="22" t="n">
        <v>0</v>
      </c>
      <c r="L34" s="22" t="n">
        <v>0.4</v>
      </c>
      <c r="M34" s="23" t="n">
        <f aca="false">SUM(H34:L34)</f>
        <v>2.4</v>
      </c>
      <c r="N34" s="23" t="n">
        <f aca="false">SUM(I34:K34)</f>
        <v>1.5</v>
      </c>
      <c r="O34" s="18" t="s">
        <v>214</v>
      </c>
      <c r="P34" s="19" t="s">
        <v>119</v>
      </c>
      <c r="Q34" s="18"/>
    </row>
    <row r="35" customFormat="false" ht="15" hidden="false" customHeight="false" outlineLevel="0" collapsed="false">
      <c r="A35" s="19" t="s">
        <v>230</v>
      </c>
      <c r="B35" s="18" t="s">
        <v>211</v>
      </c>
      <c r="C35" s="18" t="s">
        <v>231</v>
      </c>
      <c r="D35" s="18" t="s">
        <v>232</v>
      </c>
      <c r="E35" s="18" t="s">
        <v>72</v>
      </c>
      <c r="F35" s="19" t="s">
        <v>157</v>
      </c>
      <c r="G35" s="19" t="s">
        <v>135</v>
      </c>
      <c r="H35" s="22" t="n">
        <v>0.25</v>
      </c>
      <c r="I35" s="22" t="n">
        <v>0.75</v>
      </c>
      <c r="J35" s="22" t="n">
        <v>0.75</v>
      </c>
      <c r="K35" s="22" t="n">
        <v>0</v>
      </c>
      <c r="L35" s="22" t="n">
        <v>0.2</v>
      </c>
      <c r="M35" s="23" t="n">
        <f aca="false">SUM(H35:L35)</f>
        <v>1.95</v>
      </c>
      <c r="N35" s="23" t="n">
        <f aca="false">SUM(I35:K35)</f>
        <v>1.5</v>
      </c>
      <c r="O35" s="18" t="s">
        <v>59</v>
      </c>
      <c r="P35" s="19" t="s">
        <v>119</v>
      </c>
      <c r="Q35" s="18" t="s">
        <v>136</v>
      </c>
    </row>
    <row r="36" customFormat="false" ht="15" hidden="false" customHeight="false" outlineLevel="0" collapsed="false">
      <c r="A36" s="19" t="s">
        <v>233</v>
      </c>
      <c r="B36" s="18" t="s">
        <v>211</v>
      </c>
      <c r="C36" s="18" t="s">
        <v>234</v>
      </c>
      <c r="D36" s="18" t="s">
        <v>235</v>
      </c>
      <c r="E36" s="18" t="s">
        <v>61</v>
      </c>
      <c r="F36" s="19" t="s">
        <v>157</v>
      </c>
      <c r="G36" s="19" t="s">
        <v>135</v>
      </c>
      <c r="H36" s="22" t="n">
        <v>0.5</v>
      </c>
      <c r="I36" s="22" t="n">
        <v>1</v>
      </c>
      <c r="J36" s="22" t="n">
        <v>1</v>
      </c>
      <c r="K36" s="22" t="n">
        <v>0</v>
      </c>
      <c r="L36" s="22" t="n">
        <v>0.4</v>
      </c>
      <c r="M36" s="23" t="n">
        <f aca="false">SUM(H36:L36)</f>
        <v>2.9</v>
      </c>
      <c r="N36" s="23" t="n">
        <f aca="false">SUM(I36:K36)</f>
        <v>2</v>
      </c>
      <c r="O36" s="18" t="s">
        <v>59</v>
      </c>
      <c r="P36" s="19" t="s">
        <v>119</v>
      </c>
      <c r="Q36" s="18" t="s">
        <v>136</v>
      </c>
    </row>
    <row r="37" customFormat="false" ht="15" hidden="false" customHeight="false" outlineLevel="0" collapsed="false">
      <c r="A37" s="19" t="s">
        <v>236</v>
      </c>
      <c r="B37" s="18" t="s">
        <v>237</v>
      </c>
      <c r="C37" s="18" t="s">
        <v>238</v>
      </c>
      <c r="D37" s="18" t="s">
        <v>239</v>
      </c>
      <c r="E37" s="18" t="s">
        <v>72</v>
      </c>
      <c r="F37" s="19" t="s">
        <v>117</v>
      </c>
      <c r="G37" s="19" t="s">
        <v>171</v>
      </c>
      <c r="H37" s="22" t="n">
        <v>0.25</v>
      </c>
      <c r="I37" s="22" t="n">
        <v>1.5</v>
      </c>
      <c r="J37" s="22" t="n">
        <v>0.75</v>
      </c>
      <c r="K37" s="22" t="n">
        <v>0</v>
      </c>
      <c r="L37" s="22" t="n">
        <v>0.2</v>
      </c>
      <c r="M37" s="23" t="n">
        <f aca="false">SUM(H37:L37)</f>
        <v>2.7</v>
      </c>
      <c r="N37" s="23" t="n">
        <f aca="false">SUM(I37:K37)</f>
        <v>2.25</v>
      </c>
      <c r="O37" s="18" t="s">
        <v>218</v>
      </c>
      <c r="P37" s="19" t="s">
        <v>119</v>
      </c>
      <c r="Q37" s="18"/>
    </row>
    <row r="38" customFormat="false" ht="15" hidden="false" customHeight="false" outlineLevel="0" collapsed="false">
      <c r="A38" s="19" t="s">
        <v>240</v>
      </c>
      <c r="B38" s="18" t="s">
        <v>237</v>
      </c>
      <c r="C38" s="18" t="s">
        <v>241</v>
      </c>
      <c r="D38" s="18" t="s">
        <v>242</v>
      </c>
      <c r="E38" s="18" t="s">
        <v>243</v>
      </c>
      <c r="F38" s="19" t="s">
        <v>117</v>
      </c>
      <c r="G38" s="19" t="s">
        <v>171</v>
      </c>
      <c r="H38" s="22" t="n">
        <v>0.25</v>
      </c>
      <c r="I38" s="22" t="n">
        <v>2</v>
      </c>
      <c r="J38" s="22" t="n">
        <v>0</v>
      </c>
      <c r="K38" s="22" t="n">
        <v>0</v>
      </c>
      <c r="L38" s="22" t="n">
        <v>0.4</v>
      </c>
      <c r="M38" s="23" t="n">
        <f aca="false">SUM(H38:L38)</f>
        <v>2.65</v>
      </c>
      <c r="N38" s="23" t="n">
        <f aca="false">SUM(I38:K38)</f>
        <v>2</v>
      </c>
      <c r="O38" s="18" t="s">
        <v>218</v>
      </c>
      <c r="P38" s="19" t="s">
        <v>119</v>
      </c>
      <c r="Q38" s="18"/>
    </row>
    <row r="39" customFormat="false" ht="15" hidden="false" customHeight="false" outlineLevel="0" collapsed="false">
      <c r="A39" s="19" t="s">
        <v>244</v>
      </c>
      <c r="B39" s="18" t="s">
        <v>237</v>
      </c>
      <c r="C39" s="18" t="s">
        <v>245</v>
      </c>
      <c r="D39" s="18" t="s">
        <v>246</v>
      </c>
      <c r="E39" s="18" t="s">
        <v>243</v>
      </c>
      <c r="F39" s="19" t="s">
        <v>117</v>
      </c>
      <c r="G39" s="19" t="s">
        <v>130</v>
      </c>
      <c r="H39" s="22" t="n">
        <v>0.25</v>
      </c>
      <c r="I39" s="22" t="n">
        <v>1.5</v>
      </c>
      <c r="J39" s="22" t="n">
        <v>0.25</v>
      </c>
      <c r="K39" s="22" t="n">
        <v>0</v>
      </c>
      <c r="L39" s="22" t="n">
        <v>0.4</v>
      </c>
      <c r="M39" s="23" t="n">
        <f aca="false">SUM(H39:L39)</f>
        <v>2.4</v>
      </c>
      <c r="N39" s="23" t="n">
        <f aca="false">SUM(I39:K39)</f>
        <v>1.75</v>
      </c>
      <c r="O39" s="18" t="s">
        <v>247</v>
      </c>
      <c r="P39" s="19" t="s">
        <v>119</v>
      </c>
      <c r="Q39" s="18"/>
    </row>
    <row r="40" customFormat="false" ht="15" hidden="false" customHeight="false" outlineLevel="0" collapsed="false">
      <c r="A40" s="19" t="s">
        <v>248</v>
      </c>
      <c r="B40" s="18" t="s">
        <v>237</v>
      </c>
      <c r="C40" s="18" t="s">
        <v>249</v>
      </c>
      <c r="D40" s="18" t="s">
        <v>250</v>
      </c>
      <c r="E40" s="18" t="s">
        <v>116</v>
      </c>
      <c r="F40" s="19" t="s">
        <v>134</v>
      </c>
      <c r="G40" s="19" t="s">
        <v>135</v>
      </c>
      <c r="H40" s="22" t="n">
        <v>0.25</v>
      </c>
      <c r="I40" s="22" t="n">
        <v>0.75</v>
      </c>
      <c r="J40" s="22" t="n">
        <v>0</v>
      </c>
      <c r="K40" s="22" t="n">
        <v>0</v>
      </c>
      <c r="L40" s="22" t="n">
        <v>0.2</v>
      </c>
      <c r="M40" s="23" t="n">
        <f aca="false">SUM(H40:L40)</f>
        <v>1.2</v>
      </c>
      <c r="N40" s="23" t="n">
        <f aca="false">SUM(I40:K40)</f>
        <v>0.75</v>
      </c>
      <c r="O40" s="18" t="s">
        <v>59</v>
      </c>
      <c r="P40" s="19" t="s">
        <v>119</v>
      </c>
      <c r="Q40" s="18" t="s">
        <v>136</v>
      </c>
    </row>
    <row r="41" customFormat="false" ht="15" hidden="false" customHeight="false" outlineLevel="0" collapsed="false">
      <c r="A41" s="19" t="s">
        <v>251</v>
      </c>
      <c r="B41" s="18" t="s">
        <v>237</v>
      </c>
      <c r="C41" s="18" t="s">
        <v>252</v>
      </c>
      <c r="D41" s="18" t="s">
        <v>253</v>
      </c>
      <c r="E41" s="18" t="s">
        <v>254</v>
      </c>
      <c r="F41" s="19" t="s">
        <v>134</v>
      </c>
      <c r="G41" s="19" t="s">
        <v>135</v>
      </c>
      <c r="H41" s="22" t="n">
        <v>0.25</v>
      </c>
      <c r="I41" s="22" t="n">
        <v>0.75</v>
      </c>
      <c r="J41" s="22" t="n">
        <v>0.75</v>
      </c>
      <c r="K41" s="22" t="n">
        <v>0</v>
      </c>
      <c r="L41" s="22" t="n">
        <v>0.2</v>
      </c>
      <c r="M41" s="23" t="n">
        <f aca="false">SUM(H41:L41)</f>
        <v>1.95</v>
      </c>
      <c r="N41" s="23" t="n">
        <f aca="false">SUM(I41:K41)</f>
        <v>1.5</v>
      </c>
      <c r="O41" s="18" t="s">
        <v>59</v>
      </c>
      <c r="P41" s="19" t="s">
        <v>119</v>
      </c>
      <c r="Q41" s="18" t="s">
        <v>136</v>
      </c>
    </row>
    <row r="42" customFormat="false" ht="15" hidden="false" customHeight="false" outlineLevel="0" collapsed="false">
      <c r="A42" s="19" t="s">
        <v>255</v>
      </c>
      <c r="B42" s="18" t="s">
        <v>256</v>
      </c>
      <c r="C42" s="18" t="s">
        <v>257</v>
      </c>
      <c r="D42" s="18" t="s">
        <v>258</v>
      </c>
      <c r="E42" s="18" t="s">
        <v>61</v>
      </c>
      <c r="F42" s="19" t="s">
        <v>117</v>
      </c>
      <c r="G42" s="19" t="s">
        <v>225</v>
      </c>
      <c r="H42" s="22" t="n">
        <v>0.75</v>
      </c>
      <c r="I42" s="22" t="n">
        <v>0.5</v>
      </c>
      <c r="J42" s="22" t="n">
        <v>2</v>
      </c>
      <c r="K42" s="22" t="n">
        <v>0</v>
      </c>
      <c r="L42" s="22" t="n">
        <v>0.4</v>
      </c>
      <c r="M42" s="23" t="n">
        <f aca="false">SUM(H42:L42)</f>
        <v>3.65</v>
      </c>
      <c r="N42" s="23" t="n">
        <f aca="false">SUM(I42:K42)</f>
        <v>2.5</v>
      </c>
      <c r="O42" s="18" t="s">
        <v>259</v>
      </c>
      <c r="P42" s="19" t="s">
        <v>119</v>
      </c>
      <c r="Q42" s="18"/>
    </row>
    <row r="43" customFormat="false" ht="15" hidden="false" customHeight="false" outlineLevel="0" collapsed="false">
      <c r="A43" s="19" t="s">
        <v>260</v>
      </c>
      <c r="B43" s="18" t="s">
        <v>256</v>
      </c>
      <c r="C43" s="18" t="s">
        <v>261</v>
      </c>
      <c r="D43" s="18" t="s">
        <v>262</v>
      </c>
      <c r="E43" s="18" t="s">
        <v>61</v>
      </c>
      <c r="F43" s="19" t="s">
        <v>117</v>
      </c>
      <c r="G43" s="19" t="s">
        <v>225</v>
      </c>
      <c r="H43" s="22" t="n">
        <v>0.25</v>
      </c>
      <c r="I43" s="22" t="n">
        <v>0.25</v>
      </c>
      <c r="J43" s="22" t="n">
        <v>1.5</v>
      </c>
      <c r="K43" s="22" t="n">
        <v>0</v>
      </c>
      <c r="L43" s="22" t="n">
        <v>0.2</v>
      </c>
      <c r="M43" s="23" t="n">
        <f aca="false">SUM(H43:L43)</f>
        <v>2.2</v>
      </c>
      <c r="N43" s="23" t="n">
        <f aca="false">SUM(I43:K43)</f>
        <v>1.75</v>
      </c>
      <c r="O43" s="18" t="s">
        <v>263</v>
      </c>
      <c r="P43" s="19" t="s">
        <v>119</v>
      </c>
      <c r="Q43" s="18"/>
    </row>
    <row r="44" customFormat="false" ht="15" hidden="false" customHeight="false" outlineLevel="0" collapsed="false">
      <c r="A44" s="19" t="s">
        <v>264</v>
      </c>
      <c r="B44" s="18" t="s">
        <v>256</v>
      </c>
      <c r="C44" s="18" t="s">
        <v>265</v>
      </c>
      <c r="D44" s="18" t="s">
        <v>266</v>
      </c>
      <c r="E44" s="18" t="s">
        <v>61</v>
      </c>
      <c r="F44" s="19" t="s">
        <v>117</v>
      </c>
      <c r="G44" s="19" t="s">
        <v>225</v>
      </c>
      <c r="H44" s="22" t="n">
        <v>0.25</v>
      </c>
      <c r="I44" s="22" t="n">
        <v>0.25</v>
      </c>
      <c r="J44" s="22" t="n">
        <v>2</v>
      </c>
      <c r="K44" s="22" t="n">
        <v>0</v>
      </c>
      <c r="L44" s="22" t="n">
        <v>0.6</v>
      </c>
      <c r="M44" s="23" t="n">
        <f aca="false">SUM(H44:L44)</f>
        <v>3.1</v>
      </c>
      <c r="N44" s="23" t="n">
        <f aca="false">SUM(I44:K44)</f>
        <v>2.25</v>
      </c>
      <c r="O44" s="18" t="s">
        <v>267</v>
      </c>
      <c r="P44" s="19" t="s">
        <v>119</v>
      </c>
      <c r="Q44" s="18"/>
    </row>
    <row r="45" customFormat="false" ht="15" hidden="false" customHeight="false" outlineLevel="0" collapsed="false">
      <c r="A45" s="19" t="s">
        <v>268</v>
      </c>
      <c r="B45" s="18" t="s">
        <v>256</v>
      </c>
      <c r="C45" s="18" t="s">
        <v>269</v>
      </c>
      <c r="D45" s="18" t="s">
        <v>270</v>
      </c>
      <c r="E45" s="18" t="s">
        <v>56</v>
      </c>
      <c r="F45" s="19" t="s">
        <v>134</v>
      </c>
      <c r="G45" s="19" t="s">
        <v>135</v>
      </c>
      <c r="H45" s="22" t="n">
        <v>0.25</v>
      </c>
      <c r="I45" s="22" t="n">
        <v>0.5</v>
      </c>
      <c r="J45" s="22" t="n">
        <v>0.5</v>
      </c>
      <c r="K45" s="22" t="n">
        <v>0</v>
      </c>
      <c r="L45" s="22" t="n">
        <v>0.2</v>
      </c>
      <c r="M45" s="23" t="n">
        <f aca="false">SUM(H45:L45)</f>
        <v>1.45</v>
      </c>
      <c r="N45" s="23" t="n">
        <f aca="false">SUM(I45:K45)</f>
        <v>1</v>
      </c>
      <c r="O45" s="18" t="s">
        <v>59</v>
      </c>
      <c r="P45" s="19" t="s">
        <v>119</v>
      </c>
      <c r="Q45" s="18" t="s">
        <v>136</v>
      </c>
    </row>
    <row r="46" customFormat="false" ht="15" hidden="false" customHeight="false" outlineLevel="0" collapsed="false">
      <c r="A46" s="19" t="s">
        <v>271</v>
      </c>
      <c r="B46" s="18" t="s">
        <v>256</v>
      </c>
      <c r="C46" s="18" t="s">
        <v>272</v>
      </c>
      <c r="D46" s="18" t="s">
        <v>273</v>
      </c>
      <c r="E46" s="18" t="s">
        <v>243</v>
      </c>
      <c r="F46" s="19" t="s">
        <v>117</v>
      </c>
      <c r="G46" s="19" t="s">
        <v>130</v>
      </c>
      <c r="H46" s="22" t="n">
        <v>0.25</v>
      </c>
      <c r="I46" s="22" t="n">
        <v>1</v>
      </c>
      <c r="J46" s="22" t="n">
        <v>0.25</v>
      </c>
      <c r="K46" s="22" t="n">
        <v>0</v>
      </c>
      <c r="L46" s="22" t="n">
        <v>0.4</v>
      </c>
      <c r="M46" s="23" t="n">
        <f aca="false">SUM(H46:L46)</f>
        <v>1.9</v>
      </c>
      <c r="N46" s="23" t="n">
        <f aca="false">SUM(I46:K46)</f>
        <v>1.25</v>
      </c>
      <c r="O46" s="18" t="s">
        <v>247</v>
      </c>
      <c r="P46" s="19" t="s">
        <v>119</v>
      </c>
      <c r="Q46" s="18"/>
    </row>
    <row r="47" customFormat="false" ht="15" hidden="false" customHeight="false" outlineLevel="0" collapsed="false">
      <c r="A47" s="19" t="s">
        <v>274</v>
      </c>
      <c r="B47" s="18" t="s">
        <v>256</v>
      </c>
      <c r="C47" s="18" t="s">
        <v>275</v>
      </c>
      <c r="D47" s="18" t="s">
        <v>276</v>
      </c>
      <c r="E47" s="18" t="s">
        <v>61</v>
      </c>
      <c r="F47" s="19" t="s">
        <v>134</v>
      </c>
      <c r="G47" s="19" t="s">
        <v>135</v>
      </c>
      <c r="H47" s="22" t="n">
        <v>0.25</v>
      </c>
      <c r="I47" s="22" t="n">
        <v>0.75</v>
      </c>
      <c r="J47" s="22" t="n">
        <v>0.5</v>
      </c>
      <c r="K47" s="22" t="n">
        <v>0</v>
      </c>
      <c r="L47" s="22" t="n">
        <v>0.2</v>
      </c>
      <c r="M47" s="23" t="n">
        <f aca="false">SUM(H47:L47)</f>
        <v>1.7</v>
      </c>
      <c r="N47" s="23" t="n">
        <f aca="false">SUM(I47:K47)</f>
        <v>1.25</v>
      </c>
      <c r="O47" s="18" t="s">
        <v>277</v>
      </c>
      <c r="P47" s="19" t="s">
        <v>119</v>
      </c>
      <c r="Q47" s="18" t="s">
        <v>136</v>
      </c>
    </row>
    <row r="48" customFormat="false" ht="15" hidden="false" customHeight="false" outlineLevel="0" collapsed="false">
      <c r="A48" s="19" t="s">
        <v>278</v>
      </c>
      <c r="B48" s="18" t="s">
        <v>256</v>
      </c>
      <c r="C48" s="18" t="s">
        <v>279</v>
      </c>
      <c r="D48" s="18" t="s">
        <v>280</v>
      </c>
      <c r="E48" s="18" t="s">
        <v>61</v>
      </c>
      <c r="F48" s="19" t="s">
        <v>117</v>
      </c>
      <c r="G48" s="19" t="s">
        <v>130</v>
      </c>
      <c r="H48" s="22" t="n">
        <v>0.25</v>
      </c>
      <c r="I48" s="22" t="n">
        <v>0.75</v>
      </c>
      <c r="J48" s="22" t="n">
        <v>1</v>
      </c>
      <c r="K48" s="22" t="n">
        <v>0</v>
      </c>
      <c r="L48" s="22" t="n">
        <v>0.2</v>
      </c>
      <c r="M48" s="23" t="n">
        <f aca="false">SUM(H48:L48)</f>
        <v>2.2</v>
      </c>
      <c r="N48" s="23" t="n">
        <f aca="false">SUM(I48:K48)</f>
        <v>1.75</v>
      </c>
      <c r="O48" s="18" t="s">
        <v>259</v>
      </c>
      <c r="P48" s="19" t="s">
        <v>119</v>
      </c>
      <c r="Q48" s="18"/>
    </row>
    <row r="49" customFormat="false" ht="15" hidden="false" customHeight="false" outlineLevel="0" collapsed="false">
      <c r="A49" s="19" t="s">
        <v>281</v>
      </c>
      <c r="B49" s="18" t="s">
        <v>256</v>
      </c>
      <c r="C49" s="18" t="s">
        <v>282</v>
      </c>
      <c r="D49" s="18" t="s">
        <v>283</v>
      </c>
      <c r="E49" s="18" t="s">
        <v>61</v>
      </c>
      <c r="F49" s="19" t="s">
        <v>157</v>
      </c>
      <c r="G49" s="19" t="s">
        <v>135</v>
      </c>
      <c r="H49" s="22" t="n">
        <v>0.25</v>
      </c>
      <c r="I49" s="22" t="n">
        <v>0.5</v>
      </c>
      <c r="J49" s="22" t="n">
        <v>0.75</v>
      </c>
      <c r="K49" s="22" t="n">
        <v>0</v>
      </c>
      <c r="L49" s="22" t="n">
        <v>0.2</v>
      </c>
      <c r="M49" s="23" t="n">
        <f aca="false">SUM(H49:L49)</f>
        <v>1.7</v>
      </c>
      <c r="N49" s="23" t="n">
        <f aca="false">SUM(I49:K49)</f>
        <v>1.25</v>
      </c>
      <c r="O49" s="18" t="s">
        <v>59</v>
      </c>
      <c r="P49" s="19" t="s">
        <v>119</v>
      </c>
      <c r="Q49" s="18" t="s">
        <v>136</v>
      </c>
    </row>
    <row r="50" customFormat="false" ht="15" hidden="false" customHeight="false" outlineLevel="0" collapsed="false">
      <c r="A50" s="19" t="s">
        <v>284</v>
      </c>
      <c r="B50" s="18" t="s">
        <v>256</v>
      </c>
      <c r="C50" s="18" t="s">
        <v>285</v>
      </c>
      <c r="D50" s="18" t="s">
        <v>286</v>
      </c>
      <c r="E50" s="18" t="s">
        <v>61</v>
      </c>
      <c r="F50" s="19" t="s">
        <v>157</v>
      </c>
      <c r="G50" s="19" t="s">
        <v>135</v>
      </c>
      <c r="H50" s="22" t="n">
        <v>0.25</v>
      </c>
      <c r="I50" s="22" t="n">
        <v>0.75</v>
      </c>
      <c r="J50" s="22" t="n">
        <v>0.75</v>
      </c>
      <c r="K50" s="22" t="n">
        <v>0</v>
      </c>
      <c r="L50" s="22" t="n">
        <v>0.2</v>
      </c>
      <c r="M50" s="23" t="n">
        <f aca="false">SUM(H50:L50)</f>
        <v>1.95</v>
      </c>
      <c r="N50" s="23" t="n">
        <f aca="false">SUM(I50:K50)</f>
        <v>1.5</v>
      </c>
      <c r="O50" s="18" t="s">
        <v>59</v>
      </c>
      <c r="P50" s="19" t="s">
        <v>119</v>
      </c>
      <c r="Q50" s="18" t="s">
        <v>136</v>
      </c>
    </row>
    <row r="51" customFormat="false" ht="15" hidden="false" customHeight="false" outlineLevel="0" collapsed="false">
      <c r="A51" s="19" t="s">
        <v>287</v>
      </c>
      <c r="B51" s="18" t="s">
        <v>288</v>
      </c>
      <c r="C51" s="18" t="s">
        <v>289</v>
      </c>
      <c r="D51" s="18" t="s">
        <v>290</v>
      </c>
      <c r="E51" s="18" t="s">
        <v>56</v>
      </c>
      <c r="F51" s="19" t="s">
        <v>117</v>
      </c>
      <c r="G51" s="19" t="s">
        <v>225</v>
      </c>
      <c r="H51" s="22" t="n">
        <v>0.5</v>
      </c>
      <c r="I51" s="22" t="n">
        <v>0.25</v>
      </c>
      <c r="J51" s="22" t="n">
        <v>1.5</v>
      </c>
      <c r="K51" s="22" t="n">
        <v>0</v>
      </c>
      <c r="L51" s="22" t="n">
        <v>0.4</v>
      </c>
      <c r="M51" s="23" t="n">
        <f aca="false">SUM(H51:L51)</f>
        <v>2.65</v>
      </c>
      <c r="N51" s="23" t="n">
        <f aca="false">SUM(I51:K51)</f>
        <v>1.75</v>
      </c>
      <c r="O51" s="18" t="s">
        <v>291</v>
      </c>
      <c r="P51" s="19" t="s">
        <v>119</v>
      </c>
      <c r="Q51" s="18"/>
    </row>
    <row r="52" customFormat="false" ht="15" hidden="false" customHeight="false" outlineLevel="0" collapsed="false">
      <c r="A52" s="19" t="s">
        <v>292</v>
      </c>
      <c r="B52" s="18" t="s">
        <v>288</v>
      </c>
      <c r="C52" s="18" t="s">
        <v>293</v>
      </c>
      <c r="D52" s="18" t="s">
        <v>294</v>
      </c>
      <c r="E52" s="18" t="s">
        <v>243</v>
      </c>
      <c r="F52" s="19" t="s">
        <v>117</v>
      </c>
      <c r="G52" s="19" t="s">
        <v>225</v>
      </c>
      <c r="H52" s="22" t="n">
        <v>0.25</v>
      </c>
      <c r="I52" s="22" t="n">
        <v>1</v>
      </c>
      <c r="J52" s="22" t="n">
        <v>0.25</v>
      </c>
      <c r="K52" s="22" t="n">
        <v>0</v>
      </c>
      <c r="L52" s="22" t="n">
        <v>0.2</v>
      </c>
      <c r="M52" s="23" t="n">
        <f aca="false">SUM(H52:L52)</f>
        <v>1.7</v>
      </c>
      <c r="N52" s="23" t="n">
        <f aca="false">SUM(I52:K52)</f>
        <v>1.25</v>
      </c>
      <c r="O52" s="18" t="s">
        <v>291</v>
      </c>
      <c r="P52" s="19" t="s">
        <v>119</v>
      </c>
      <c r="Q52" s="18"/>
    </row>
    <row r="53" customFormat="false" ht="15" hidden="false" customHeight="false" outlineLevel="0" collapsed="false">
      <c r="A53" s="19" t="s">
        <v>295</v>
      </c>
      <c r="B53" s="18" t="s">
        <v>288</v>
      </c>
      <c r="C53" s="18" t="s">
        <v>296</v>
      </c>
      <c r="D53" s="18" t="s">
        <v>297</v>
      </c>
      <c r="E53" s="18" t="s">
        <v>78</v>
      </c>
      <c r="F53" s="19" t="s">
        <v>117</v>
      </c>
      <c r="G53" s="19" t="s">
        <v>298</v>
      </c>
      <c r="H53" s="22" t="n">
        <v>0.25</v>
      </c>
      <c r="I53" s="22" t="n">
        <v>1</v>
      </c>
      <c r="J53" s="22" t="n">
        <v>0.25</v>
      </c>
      <c r="K53" s="22" t="n">
        <v>0</v>
      </c>
      <c r="L53" s="22" t="n">
        <v>0.4</v>
      </c>
      <c r="M53" s="23" t="n">
        <f aca="false">SUM(H53:L53)</f>
        <v>1.9</v>
      </c>
      <c r="N53" s="23" t="n">
        <f aca="false">SUM(I53:K53)</f>
        <v>1.25</v>
      </c>
      <c r="O53" s="18" t="s">
        <v>299</v>
      </c>
      <c r="P53" s="19" t="s">
        <v>119</v>
      </c>
      <c r="Q53" s="18"/>
    </row>
    <row r="54" customFormat="false" ht="15" hidden="false" customHeight="false" outlineLevel="0" collapsed="false">
      <c r="A54" s="19" t="s">
        <v>300</v>
      </c>
      <c r="B54" s="18" t="s">
        <v>288</v>
      </c>
      <c r="C54" s="18" t="s">
        <v>301</v>
      </c>
      <c r="D54" s="18" t="s">
        <v>302</v>
      </c>
      <c r="E54" s="18" t="s">
        <v>78</v>
      </c>
      <c r="F54" s="19" t="s">
        <v>134</v>
      </c>
      <c r="G54" s="19" t="s">
        <v>135</v>
      </c>
      <c r="H54" s="22" t="n">
        <v>0.25</v>
      </c>
      <c r="I54" s="22" t="n">
        <v>0.75</v>
      </c>
      <c r="J54" s="22" t="n">
        <v>0.75</v>
      </c>
      <c r="K54" s="22" t="n">
        <v>0</v>
      </c>
      <c r="L54" s="22" t="n">
        <v>0.2</v>
      </c>
      <c r="M54" s="23" t="n">
        <f aca="false">SUM(H54:L54)</f>
        <v>1.95</v>
      </c>
      <c r="N54" s="23" t="n">
        <f aca="false">SUM(I54:K54)</f>
        <v>1.5</v>
      </c>
      <c r="O54" s="18" t="s">
        <v>59</v>
      </c>
      <c r="P54" s="19" t="s">
        <v>119</v>
      </c>
      <c r="Q54" s="18" t="s">
        <v>136</v>
      </c>
    </row>
    <row r="55" customFormat="false" ht="15" hidden="false" customHeight="false" outlineLevel="0" collapsed="false">
      <c r="A55" s="19" t="s">
        <v>303</v>
      </c>
      <c r="B55" s="18" t="s">
        <v>288</v>
      </c>
      <c r="C55" s="18" t="s">
        <v>304</v>
      </c>
      <c r="D55" s="18" t="s">
        <v>305</v>
      </c>
      <c r="E55" s="18" t="s">
        <v>61</v>
      </c>
      <c r="F55" s="19" t="s">
        <v>134</v>
      </c>
      <c r="G55" s="19" t="s">
        <v>135</v>
      </c>
      <c r="H55" s="22" t="n">
        <v>0.1</v>
      </c>
      <c r="I55" s="22" t="n">
        <v>0.1</v>
      </c>
      <c r="J55" s="22" t="n">
        <v>0.5</v>
      </c>
      <c r="K55" s="22" t="n">
        <v>0</v>
      </c>
      <c r="L55" s="22" t="n">
        <v>0.1</v>
      </c>
      <c r="M55" s="23" t="n">
        <f aca="false">SUM(H55:L55)</f>
        <v>0.8</v>
      </c>
      <c r="N55" s="23" t="n">
        <f aca="false">SUM(I55:K55)</f>
        <v>0.6</v>
      </c>
      <c r="O55" s="18" t="s">
        <v>59</v>
      </c>
      <c r="P55" s="19" t="s">
        <v>119</v>
      </c>
      <c r="Q55" s="18" t="s">
        <v>136</v>
      </c>
    </row>
    <row r="56" customFormat="false" ht="15" hidden="false" customHeight="false" outlineLevel="0" collapsed="false">
      <c r="A56" s="19" t="s">
        <v>306</v>
      </c>
      <c r="B56" s="18" t="s">
        <v>288</v>
      </c>
      <c r="C56" s="18" t="s">
        <v>307</v>
      </c>
      <c r="D56" s="18" t="s">
        <v>308</v>
      </c>
      <c r="E56" s="18" t="s">
        <v>78</v>
      </c>
      <c r="F56" s="19" t="s">
        <v>134</v>
      </c>
      <c r="G56" s="19" t="s">
        <v>135</v>
      </c>
      <c r="H56" s="22" t="n">
        <v>0.5</v>
      </c>
      <c r="I56" s="22" t="n">
        <v>1</v>
      </c>
      <c r="J56" s="22" t="n">
        <v>0.75</v>
      </c>
      <c r="K56" s="22" t="n">
        <v>0</v>
      </c>
      <c r="L56" s="22" t="n">
        <v>0.4</v>
      </c>
      <c r="M56" s="23" t="n">
        <f aca="false">SUM(H56:L56)</f>
        <v>2.65</v>
      </c>
      <c r="N56" s="23" t="n">
        <f aca="false">SUM(I56:K56)</f>
        <v>1.75</v>
      </c>
      <c r="O56" s="18" t="s">
        <v>59</v>
      </c>
      <c r="P56" s="19" t="s">
        <v>119</v>
      </c>
      <c r="Q56" s="18" t="s">
        <v>136</v>
      </c>
    </row>
    <row r="57" customFormat="false" ht="15" hidden="false" customHeight="false" outlineLevel="0" collapsed="false">
      <c r="A57" s="19" t="s">
        <v>309</v>
      </c>
      <c r="B57" s="18" t="s">
        <v>288</v>
      </c>
      <c r="C57" s="18" t="s">
        <v>310</v>
      </c>
      <c r="D57" s="18" t="s">
        <v>311</v>
      </c>
      <c r="E57" s="18" t="s">
        <v>78</v>
      </c>
      <c r="F57" s="19" t="s">
        <v>134</v>
      </c>
      <c r="G57" s="19" t="s">
        <v>135</v>
      </c>
      <c r="H57" s="22" t="n">
        <v>0.25</v>
      </c>
      <c r="I57" s="22" t="n">
        <v>0.5</v>
      </c>
      <c r="J57" s="22" t="n">
        <v>0.5</v>
      </c>
      <c r="K57" s="22" t="n">
        <v>1</v>
      </c>
      <c r="L57" s="22" t="n">
        <v>0.2</v>
      </c>
      <c r="M57" s="23" t="n">
        <f aca="false">SUM(H57:L57)</f>
        <v>2.45</v>
      </c>
      <c r="N57" s="23" t="n">
        <f aca="false">SUM(I57:K57)</f>
        <v>2</v>
      </c>
      <c r="O57" s="18" t="s">
        <v>59</v>
      </c>
      <c r="P57" s="19" t="s">
        <v>119</v>
      </c>
      <c r="Q57" s="18" t="s">
        <v>136</v>
      </c>
    </row>
    <row r="58" customFormat="false" ht="15" hidden="false" customHeight="false" outlineLevel="0" collapsed="false">
      <c r="A58" s="19" t="s">
        <v>312</v>
      </c>
      <c r="B58" s="18" t="s">
        <v>288</v>
      </c>
      <c r="C58" s="18" t="s">
        <v>313</v>
      </c>
      <c r="D58" s="18" t="s">
        <v>314</v>
      </c>
      <c r="E58" s="18" t="s">
        <v>78</v>
      </c>
      <c r="F58" s="19" t="s">
        <v>157</v>
      </c>
      <c r="G58" s="19" t="s">
        <v>135</v>
      </c>
      <c r="H58" s="22" t="n">
        <v>0.5</v>
      </c>
      <c r="I58" s="22" t="n">
        <v>2</v>
      </c>
      <c r="J58" s="22" t="n">
        <v>1</v>
      </c>
      <c r="K58" s="22" t="n">
        <v>0</v>
      </c>
      <c r="L58" s="22" t="n">
        <v>0.6</v>
      </c>
      <c r="M58" s="23" t="n">
        <f aca="false">SUM(H58:L58)</f>
        <v>4.1</v>
      </c>
      <c r="N58" s="23" t="n">
        <f aca="false">SUM(I58:K58)</f>
        <v>3</v>
      </c>
      <c r="O58" s="18" t="s">
        <v>59</v>
      </c>
      <c r="P58" s="19" t="s">
        <v>119</v>
      </c>
      <c r="Q58" s="18" t="s">
        <v>136</v>
      </c>
    </row>
    <row r="59" customFormat="false" ht="15" hidden="false" customHeight="false" outlineLevel="0" collapsed="false">
      <c r="A59" s="19" t="s">
        <v>315</v>
      </c>
      <c r="B59" s="18" t="s">
        <v>288</v>
      </c>
      <c r="C59" s="18" t="s">
        <v>316</v>
      </c>
      <c r="D59" s="18" t="s">
        <v>317</v>
      </c>
      <c r="E59" s="18" t="s">
        <v>78</v>
      </c>
      <c r="F59" s="19" t="s">
        <v>157</v>
      </c>
      <c r="G59" s="19" t="s">
        <v>135</v>
      </c>
      <c r="H59" s="22" t="n">
        <v>0.25</v>
      </c>
      <c r="I59" s="22" t="n">
        <v>0.75</v>
      </c>
      <c r="J59" s="22" t="n">
        <v>0.75</v>
      </c>
      <c r="K59" s="22" t="n">
        <v>0</v>
      </c>
      <c r="L59" s="22" t="n">
        <v>0.2</v>
      </c>
      <c r="M59" s="23" t="n">
        <f aca="false">SUM(H59:L59)</f>
        <v>1.95</v>
      </c>
      <c r="N59" s="23" t="n">
        <f aca="false">SUM(I59:K59)</f>
        <v>1.5</v>
      </c>
      <c r="O59" s="18" t="s">
        <v>59</v>
      </c>
      <c r="P59" s="19" t="s">
        <v>119</v>
      </c>
      <c r="Q59" s="18" t="s">
        <v>136</v>
      </c>
    </row>
    <row r="60" customFormat="false" ht="15" hidden="false" customHeight="false" outlineLevel="0" collapsed="false">
      <c r="A60" s="19" t="s">
        <v>318</v>
      </c>
      <c r="B60" s="18" t="s">
        <v>319</v>
      </c>
      <c r="C60" s="18" t="s">
        <v>320</v>
      </c>
      <c r="D60" s="18" t="s">
        <v>321</v>
      </c>
      <c r="E60" s="18" t="s">
        <v>61</v>
      </c>
      <c r="F60" s="19" t="s">
        <v>117</v>
      </c>
      <c r="G60" s="19" t="s">
        <v>130</v>
      </c>
      <c r="H60" s="22" t="n">
        <v>0.25</v>
      </c>
      <c r="I60" s="22" t="n">
        <v>1</v>
      </c>
      <c r="J60" s="22" t="n">
        <v>1</v>
      </c>
      <c r="K60" s="22" t="n">
        <v>0</v>
      </c>
      <c r="L60" s="22" t="n">
        <v>0.4</v>
      </c>
      <c r="M60" s="23" t="n">
        <f aca="false">SUM(H60:L60)</f>
        <v>2.65</v>
      </c>
      <c r="N60" s="23" t="n">
        <f aca="false">SUM(I60:K60)</f>
        <v>2</v>
      </c>
      <c r="O60" s="18" t="s">
        <v>322</v>
      </c>
      <c r="P60" s="19" t="s">
        <v>119</v>
      </c>
      <c r="Q60" s="18"/>
    </row>
    <row r="61" customFormat="false" ht="15" hidden="false" customHeight="false" outlineLevel="0" collapsed="false">
      <c r="A61" s="19" t="s">
        <v>323</v>
      </c>
      <c r="B61" s="18" t="s">
        <v>319</v>
      </c>
      <c r="C61" s="18" t="s">
        <v>324</v>
      </c>
      <c r="D61" s="18" t="s">
        <v>325</v>
      </c>
      <c r="E61" s="18" t="s">
        <v>61</v>
      </c>
      <c r="F61" s="19" t="s">
        <v>117</v>
      </c>
      <c r="G61" s="19" t="s">
        <v>130</v>
      </c>
      <c r="H61" s="22" t="n">
        <v>0.25</v>
      </c>
      <c r="I61" s="22" t="n">
        <v>2</v>
      </c>
      <c r="J61" s="22" t="n">
        <v>0.5</v>
      </c>
      <c r="K61" s="22" t="n">
        <v>0</v>
      </c>
      <c r="L61" s="22" t="n">
        <v>0.6</v>
      </c>
      <c r="M61" s="23" t="n">
        <f aca="false">SUM(H61:L61)</f>
        <v>3.35</v>
      </c>
      <c r="N61" s="23" t="n">
        <f aca="false">SUM(I61:K61)</f>
        <v>2.5</v>
      </c>
      <c r="O61" s="18" t="s">
        <v>326</v>
      </c>
      <c r="P61" s="19" t="s">
        <v>119</v>
      </c>
      <c r="Q61" s="18"/>
    </row>
    <row r="62" customFormat="false" ht="15" hidden="false" customHeight="false" outlineLevel="0" collapsed="false">
      <c r="A62" s="19" t="s">
        <v>327</v>
      </c>
      <c r="B62" s="18" t="s">
        <v>319</v>
      </c>
      <c r="C62" s="18" t="s">
        <v>328</v>
      </c>
      <c r="D62" s="18" t="s">
        <v>329</v>
      </c>
      <c r="E62" s="18" t="s">
        <v>243</v>
      </c>
      <c r="F62" s="19" t="s">
        <v>117</v>
      </c>
      <c r="G62" s="19" t="s">
        <v>130</v>
      </c>
      <c r="H62" s="22" t="n">
        <v>0.25</v>
      </c>
      <c r="I62" s="22" t="n">
        <v>1.5</v>
      </c>
      <c r="J62" s="22" t="n">
        <v>0</v>
      </c>
      <c r="K62" s="22" t="n">
        <v>0</v>
      </c>
      <c r="L62" s="22" t="n">
        <v>0.4</v>
      </c>
      <c r="M62" s="23" t="n">
        <f aca="false">SUM(H62:L62)</f>
        <v>2.15</v>
      </c>
      <c r="N62" s="23" t="n">
        <f aca="false">SUM(I62:K62)</f>
        <v>1.5</v>
      </c>
      <c r="O62" s="18" t="s">
        <v>330</v>
      </c>
      <c r="P62" s="19" t="s">
        <v>119</v>
      </c>
      <c r="Q62" s="18"/>
    </row>
    <row r="63" customFormat="false" ht="15" hidden="false" customHeight="false" outlineLevel="0" collapsed="false">
      <c r="A63" s="19" t="s">
        <v>331</v>
      </c>
      <c r="B63" s="18" t="s">
        <v>319</v>
      </c>
      <c r="C63" s="18" t="s">
        <v>332</v>
      </c>
      <c r="D63" s="18" t="s">
        <v>333</v>
      </c>
      <c r="E63" s="18" t="s">
        <v>243</v>
      </c>
      <c r="F63" s="19" t="s">
        <v>117</v>
      </c>
      <c r="G63" s="19" t="s">
        <v>130</v>
      </c>
      <c r="H63" s="22" t="n">
        <v>0.25</v>
      </c>
      <c r="I63" s="22" t="n">
        <v>1.5</v>
      </c>
      <c r="J63" s="22" t="n">
        <v>0</v>
      </c>
      <c r="K63" s="22" t="n">
        <v>0</v>
      </c>
      <c r="L63" s="22" t="n">
        <v>0.4</v>
      </c>
      <c r="M63" s="23" t="n">
        <f aca="false">SUM(H63:L63)</f>
        <v>2.15</v>
      </c>
      <c r="N63" s="23" t="n">
        <f aca="false">SUM(I63:K63)</f>
        <v>1.5</v>
      </c>
      <c r="O63" s="18" t="s">
        <v>330</v>
      </c>
      <c r="P63" s="19" t="s">
        <v>119</v>
      </c>
      <c r="Q63" s="18"/>
    </row>
    <row r="64" customFormat="false" ht="15" hidden="false" customHeight="false" outlineLevel="0" collapsed="false">
      <c r="A64" s="19" t="s">
        <v>334</v>
      </c>
      <c r="B64" s="18" t="s">
        <v>319</v>
      </c>
      <c r="C64" s="18" t="s">
        <v>335</v>
      </c>
      <c r="D64" s="18" t="s">
        <v>336</v>
      </c>
      <c r="E64" s="18" t="s">
        <v>61</v>
      </c>
      <c r="F64" s="19" t="s">
        <v>117</v>
      </c>
      <c r="G64" s="19" t="s">
        <v>200</v>
      </c>
      <c r="H64" s="22" t="n">
        <v>0.75</v>
      </c>
      <c r="I64" s="22" t="n">
        <v>1.5</v>
      </c>
      <c r="J64" s="22" t="n">
        <v>1</v>
      </c>
      <c r="K64" s="22" t="n">
        <v>0</v>
      </c>
      <c r="L64" s="22" t="n">
        <v>0.6</v>
      </c>
      <c r="M64" s="23" t="n">
        <f aca="false">SUM(H64:L64)</f>
        <v>3.85</v>
      </c>
      <c r="N64" s="23" t="n">
        <f aca="false">SUM(I64:K64)</f>
        <v>2.5</v>
      </c>
      <c r="O64" s="18" t="s">
        <v>337</v>
      </c>
      <c r="P64" s="19" t="s">
        <v>119</v>
      </c>
      <c r="Q64" s="18"/>
    </row>
    <row r="65" customFormat="false" ht="15" hidden="false" customHeight="false" outlineLevel="0" collapsed="false">
      <c r="A65" s="19" t="s">
        <v>338</v>
      </c>
      <c r="B65" s="18" t="s">
        <v>319</v>
      </c>
      <c r="C65" s="18" t="s">
        <v>339</v>
      </c>
      <c r="D65" s="18" t="s">
        <v>340</v>
      </c>
      <c r="E65" s="18" t="s">
        <v>61</v>
      </c>
      <c r="F65" s="19" t="s">
        <v>134</v>
      </c>
      <c r="G65" s="19" t="s">
        <v>135</v>
      </c>
      <c r="H65" s="22" t="n">
        <v>0.1</v>
      </c>
      <c r="I65" s="22" t="n">
        <v>0.5</v>
      </c>
      <c r="J65" s="22" t="n">
        <v>0.75</v>
      </c>
      <c r="K65" s="22" t="n">
        <v>0</v>
      </c>
      <c r="L65" s="22" t="n">
        <v>0.2</v>
      </c>
      <c r="M65" s="23" t="n">
        <f aca="false">SUM(H65:L65)</f>
        <v>1.55</v>
      </c>
      <c r="N65" s="23" t="n">
        <f aca="false">SUM(I65:K65)</f>
        <v>1.25</v>
      </c>
      <c r="O65" s="18" t="s">
        <v>59</v>
      </c>
      <c r="P65" s="19" t="s">
        <v>119</v>
      </c>
      <c r="Q65" s="18" t="s">
        <v>136</v>
      </c>
    </row>
    <row r="66" customFormat="false" ht="15" hidden="false" customHeight="false" outlineLevel="0" collapsed="false">
      <c r="A66" s="19" t="s">
        <v>341</v>
      </c>
      <c r="B66" s="18" t="s">
        <v>319</v>
      </c>
      <c r="C66" s="18" t="s">
        <v>342</v>
      </c>
      <c r="D66" s="18" t="s">
        <v>343</v>
      </c>
      <c r="E66" s="18" t="s">
        <v>61</v>
      </c>
      <c r="F66" s="19" t="s">
        <v>134</v>
      </c>
      <c r="G66" s="19" t="s">
        <v>135</v>
      </c>
      <c r="H66" s="22" t="n">
        <v>0.25</v>
      </c>
      <c r="I66" s="22" t="n">
        <v>1</v>
      </c>
      <c r="J66" s="22" t="n">
        <v>0.5</v>
      </c>
      <c r="K66" s="22" t="n">
        <v>0</v>
      </c>
      <c r="L66" s="22" t="n">
        <v>0.4</v>
      </c>
      <c r="M66" s="23" t="n">
        <f aca="false">SUM(H66:L66)</f>
        <v>2.15</v>
      </c>
      <c r="N66" s="23" t="n">
        <f aca="false">SUM(I66:K66)</f>
        <v>1.5</v>
      </c>
      <c r="O66" s="18" t="s">
        <v>59</v>
      </c>
      <c r="P66" s="19" t="s">
        <v>119</v>
      </c>
      <c r="Q66" s="18" t="s">
        <v>136</v>
      </c>
    </row>
    <row r="67" customFormat="false" ht="15" hidden="false" customHeight="false" outlineLevel="0" collapsed="false">
      <c r="A67" s="19" t="s">
        <v>344</v>
      </c>
      <c r="B67" s="18" t="s">
        <v>319</v>
      </c>
      <c r="C67" s="18" t="s">
        <v>345</v>
      </c>
      <c r="D67" s="18" t="s">
        <v>346</v>
      </c>
      <c r="E67" s="18" t="s">
        <v>81</v>
      </c>
      <c r="F67" s="19" t="s">
        <v>134</v>
      </c>
      <c r="G67" s="19" t="s">
        <v>135</v>
      </c>
      <c r="H67" s="22" t="n">
        <v>0.25</v>
      </c>
      <c r="I67" s="22" t="n">
        <v>0.75</v>
      </c>
      <c r="J67" s="22" t="n">
        <v>0.5</v>
      </c>
      <c r="K67" s="22" t="n">
        <v>0</v>
      </c>
      <c r="L67" s="22" t="n">
        <v>0.2</v>
      </c>
      <c r="M67" s="23" t="n">
        <f aca="false">SUM(H67:L67)</f>
        <v>1.7</v>
      </c>
      <c r="N67" s="23" t="n">
        <f aca="false">SUM(I67:K67)</f>
        <v>1.25</v>
      </c>
      <c r="O67" s="18" t="s">
        <v>59</v>
      </c>
      <c r="P67" s="19" t="s">
        <v>119</v>
      </c>
      <c r="Q67" s="18" t="s">
        <v>136</v>
      </c>
    </row>
    <row r="68" customFormat="false" ht="15" hidden="false" customHeight="false" outlineLevel="0" collapsed="false">
      <c r="A68" s="19" t="s">
        <v>347</v>
      </c>
      <c r="B68" s="18" t="s">
        <v>319</v>
      </c>
      <c r="C68" s="18" t="s">
        <v>348</v>
      </c>
      <c r="D68" s="18" t="s">
        <v>349</v>
      </c>
      <c r="E68" s="18" t="s">
        <v>81</v>
      </c>
      <c r="F68" s="19" t="s">
        <v>134</v>
      </c>
      <c r="G68" s="19" t="s">
        <v>135</v>
      </c>
      <c r="H68" s="22" t="n">
        <v>0.25</v>
      </c>
      <c r="I68" s="22" t="n">
        <v>0.75</v>
      </c>
      <c r="J68" s="22" t="n">
        <v>1</v>
      </c>
      <c r="K68" s="22" t="n">
        <v>0</v>
      </c>
      <c r="L68" s="22" t="n">
        <v>0.2</v>
      </c>
      <c r="M68" s="23" t="n">
        <f aca="false">SUM(H68:L68)</f>
        <v>2.2</v>
      </c>
      <c r="N68" s="23" t="n">
        <f aca="false">SUM(I68:K68)</f>
        <v>1.75</v>
      </c>
      <c r="O68" s="18" t="s">
        <v>59</v>
      </c>
      <c r="P68" s="19" t="s">
        <v>119</v>
      </c>
      <c r="Q68" s="18" t="s">
        <v>136</v>
      </c>
    </row>
    <row r="69" customFormat="false" ht="15" hidden="false" customHeight="false" outlineLevel="0" collapsed="false">
      <c r="A69" s="19" t="s">
        <v>350</v>
      </c>
      <c r="B69" s="18" t="s">
        <v>319</v>
      </c>
      <c r="C69" s="18" t="s">
        <v>351</v>
      </c>
      <c r="D69" s="18" t="s">
        <v>352</v>
      </c>
      <c r="E69" s="18" t="s">
        <v>61</v>
      </c>
      <c r="F69" s="19" t="s">
        <v>157</v>
      </c>
      <c r="G69" s="19" t="s">
        <v>135</v>
      </c>
      <c r="H69" s="22" t="n">
        <v>0.5</v>
      </c>
      <c r="I69" s="22" t="n">
        <v>1.5</v>
      </c>
      <c r="J69" s="22" t="n">
        <v>1</v>
      </c>
      <c r="K69" s="22" t="n">
        <v>0</v>
      </c>
      <c r="L69" s="22" t="n">
        <v>0.4</v>
      </c>
      <c r="M69" s="23" t="n">
        <f aca="false">SUM(H69:L69)</f>
        <v>3.4</v>
      </c>
      <c r="N69" s="23" t="n">
        <f aca="false">SUM(I69:K69)</f>
        <v>2.5</v>
      </c>
      <c r="O69" s="18" t="s">
        <v>59</v>
      </c>
      <c r="P69" s="19" t="s">
        <v>119</v>
      </c>
      <c r="Q69" s="18" t="s">
        <v>136</v>
      </c>
    </row>
    <row r="70" customFormat="false" ht="23.85" hidden="false" customHeight="false" outlineLevel="0" collapsed="false">
      <c r="A70" s="19" t="s">
        <v>353</v>
      </c>
      <c r="B70" s="18" t="s">
        <v>354</v>
      </c>
      <c r="C70" s="18" t="s">
        <v>355</v>
      </c>
      <c r="D70" s="18" t="s">
        <v>356</v>
      </c>
      <c r="E70" s="18" t="s">
        <v>357</v>
      </c>
      <c r="F70" s="19" t="s">
        <v>117</v>
      </c>
      <c r="G70" s="19" t="s">
        <v>118</v>
      </c>
      <c r="H70" s="22" t="n">
        <v>1</v>
      </c>
      <c r="I70" s="22" t="n">
        <v>0</v>
      </c>
      <c r="J70" s="22" t="n">
        <v>0</v>
      </c>
      <c r="K70" s="22" t="n">
        <v>3</v>
      </c>
      <c r="L70" s="22" t="n">
        <v>0.1</v>
      </c>
      <c r="M70" s="23" t="n">
        <f aca="false">SUM(H70:L70)</f>
        <v>4.1</v>
      </c>
      <c r="N70" s="23" t="n">
        <f aca="false">SUM(I70:K70)</f>
        <v>3</v>
      </c>
      <c r="O70" s="18" t="s">
        <v>59</v>
      </c>
      <c r="P70" s="19" t="s">
        <v>119</v>
      </c>
      <c r="Q70" s="18"/>
    </row>
    <row r="71" customFormat="false" ht="15" hidden="false" customHeight="false" outlineLevel="0" collapsed="false">
      <c r="A71" s="19" t="s">
        <v>358</v>
      </c>
      <c r="B71" s="18" t="s">
        <v>354</v>
      </c>
      <c r="C71" s="18" t="s">
        <v>359</v>
      </c>
      <c r="D71" s="18" t="s">
        <v>360</v>
      </c>
      <c r="E71" s="18" t="s">
        <v>243</v>
      </c>
      <c r="F71" s="19" t="s">
        <v>117</v>
      </c>
      <c r="G71" s="19" t="s">
        <v>171</v>
      </c>
      <c r="H71" s="22" t="n">
        <v>0.25</v>
      </c>
      <c r="I71" s="22" t="n">
        <v>1.5</v>
      </c>
      <c r="J71" s="22" t="n">
        <v>0</v>
      </c>
      <c r="K71" s="22" t="n">
        <v>1.5</v>
      </c>
      <c r="L71" s="22" t="n">
        <v>0.4</v>
      </c>
      <c r="M71" s="23" t="n">
        <f aca="false">SUM(H71:L71)</f>
        <v>3.65</v>
      </c>
      <c r="N71" s="23" t="n">
        <f aca="false">SUM(I71:K71)</f>
        <v>3</v>
      </c>
      <c r="O71" s="18" t="s">
        <v>59</v>
      </c>
      <c r="P71" s="19" t="s">
        <v>119</v>
      </c>
      <c r="Q71" s="18"/>
    </row>
    <row r="72" customFormat="false" ht="15" hidden="false" customHeight="false" outlineLevel="0" collapsed="false">
      <c r="A72" s="19" t="s">
        <v>361</v>
      </c>
      <c r="B72" s="18" t="s">
        <v>354</v>
      </c>
      <c r="C72" s="18" t="s">
        <v>362</v>
      </c>
      <c r="D72" s="18" t="s">
        <v>363</v>
      </c>
      <c r="E72" s="18" t="s">
        <v>254</v>
      </c>
      <c r="F72" s="19" t="s">
        <v>117</v>
      </c>
      <c r="G72" s="19" t="s">
        <v>298</v>
      </c>
      <c r="H72" s="22" t="n">
        <v>0.25</v>
      </c>
      <c r="I72" s="22" t="n">
        <v>0.5</v>
      </c>
      <c r="J72" s="22" t="n">
        <v>1</v>
      </c>
      <c r="K72" s="22" t="n">
        <v>0</v>
      </c>
      <c r="L72" s="22" t="n">
        <v>0.2</v>
      </c>
      <c r="M72" s="23" t="n">
        <f aca="false">SUM(H72:L72)</f>
        <v>1.95</v>
      </c>
      <c r="N72" s="23" t="n">
        <f aca="false">SUM(I72:K72)</f>
        <v>1.5</v>
      </c>
      <c r="O72" s="18" t="s">
        <v>364</v>
      </c>
      <c r="P72" s="19" t="s">
        <v>119</v>
      </c>
      <c r="Q72" s="18"/>
    </row>
    <row r="73" customFormat="false" ht="15" hidden="false" customHeight="false" outlineLevel="0" collapsed="false">
      <c r="A73" s="19" t="s">
        <v>365</v>
      </c>
      <c r="B73" s="18" t="s">
        <v>354</v>
      </c>
      <c r="C73" s="18" t="s">
        <v>366</v>
      </c>
      <c r="D73" s="18" t="s">
        <v>367</v>
      </c>
      <c r="E73" s="18" t="s">
        <v>254</v>
      </c>
      <c r="F73" s="19" t="s">
        <v>117</v>
      </c>
      <c r="G73" s="19" t="s">
        <v>298</v>
      </c>
      <c r="H73" s="22" t="n">
        <v>0.25</v>
      </c>
      <c r="I73" s="22" t="n">
        <v>0.25</v>
      </c>
      <c r="J73" s="22" t="n">
        <v>0.75</v>
      </c>
      <c r="K73" s="22" t="n">
        <v>1.5</v>
      </c>
      <c r="L73" s="22" t="n">
        <v>0.2</v>
      </c>
      <c r="M73" s="23" t="n">
        <f aca="false">SUM(H73:L73)</f>
        <v>2.95</v>
      </c>
      <c r="N73" s="23" t="n">
        <f aca="false">SUM(I73:K73)</f>
        <v>2.5</v>
      </c>
      <c r="O73" s="18" t="s">
        <v>368</v>
      </c>
      <c r="P73" s="19" t="s">
        <v>119</v>
      </c>
      <c r="Q73" s="18"/>
    </row>
    <row r="74" customFormat="false" ht="15" hidden="false" customHeight="false" outlineLevel="0" collapsed="false">
      <c r="A74" s="19" t="s">
        <v>369</v>
      </c>
      <c r="B74" s="18" t="s">
        <v>354</v>
      </c>
      <c r="C74" s="18" t="s">
        <v>370</v>
      </c>
      <c r="D74" s="18" t="s">
        <v>371</v>
      </c>
      <c r="E74" s="18" t="s">
        <v>254</v>
      </c>
      <c r="F74" s="19" t="s">
        <v>117</v>
      </c>
      <c r="G74" s="19" t="s">
        <v>298</v>
      </c>
      <c r="H74" s="22" t="n">
        <v>0.25</v>
      </c>
      <c r="I74" s="22" t="n">
        <v>0.25</v>
      </c>
      <c r="J74" s="22" t="n">
        <v>1</v>
      </c>
      <c r="K74" s="22" t="n">
        <v>1.5</v>
      </c>
      <c r="L74" s="22" t="n">
        <v>0.2</v>
      </c>
      <c r="M74" s="23" t="n">
        <f aca="false">SUM(H74:L74)</f>
        <v>3.2</v>
      </c>
      <c r="N74" s="23" t="n">
        <f aca="false">SUM(I74:K74)</f>
        <v>2.75</v>
      </c>
      <c r="O74" s="18" t="s">
        <v>372</v>
      </c>
      <c r="P74" s="19" t="s">
        <v>119</v>
      </c>
      <c r="Q74" s="18"/>
    </row>
    <row r="75" customFormat="false" ht="15" hidden="false" customHeight="false" outlineLevel="0" collapsed="false">
      <c r="A75" s="19" t="s">
        <v>373</v>
      </c>
      <c r="B75" s="18" t="s">
        <v>354</v>
      </c>
      <c r="C75" s="18" t="s">
        <v>374</v>
      </c>
      <c r="D75" s="18" t="s">
        <v>375</v>
      </c>
      <c r="E75" s="18" t="s">
        <v>254</v>
      </c>
      <c r="F75" s="19" t="s">
        <v>117</v>
      </c>
      <c r="G75" s="19" t="s">
        <v>376</v>
      </c>
      <c r="H75" s="22" t="n">
        <v>0.5</v>
      </c>
      <c r="I75" s="22" t="n">
        <v>0.5</v>
      </c>
      <c r="J75" s="22" t="n">
        <v>0.75</v>
      </c>
      <c r="K75" s="22" t="n">
        <v>2.25</v>
      </c>
      <c r="L75" s="22" t="n">
        <v>0.4</v>
      </c>
      <c r="M75" s="23" t="n">
        <f aca="false">SUM(H75:L75)</f>
        <v>4.4</v>
      </c>
      <c r="N75" s="23" t="n">
        <f aca="false">SUM(I75:K75)</f>
        <v>3.5</v>
      </c>
      <c r="O75" s="18" t="s">
        <v>377</v>
      </c>
      <c r="P75" s="19" t="s">
        <v>119</v>
      </c>
      <c r="Q75" s="18"/>
    </row>
    <row r="76" customFormat="false" ht="15" hidden="false" customHeight="false" outlineLevel="0" collapsed="false">
      <c r="A76" s="19" t="s">
        <v>378</v>
      </c>
      <c r="B76" s="18" t="s">
        <v>354</v>
      </c>
      <c r="C76" s="18" t="s">
        <v>379</v>
      </c>
      <c r="D76" s="18" t="s">
        <v>380</v>
      </c>
      <c r="E76" s="18" t="s">
        <v>254</v>
      </c>
      <c r="F76" s="19" t="s">
        <v>117</v>
      </c>
      <c r="G76" s="19" t="s">
        <v>298</v>
      </c>
      <c r="H76" s="22" t="n">
        <v>0.25</v>
      </c>
      <c r="I76" s="22" t="n">
        <v>0.25</v>
      </c>
      <c r="J76" s="22" t="n">
        <v>0.75</v>
      </c>
      <c r="K76" s="22" t="n">
        <v>1.5</v>
      </c>
      <c r="L76" s="22" t="n">
        <v>0.2</v>
      </c>
      <c r="M76" s="23" t="n">
        <f aca="false">SUM(H76:L76)</f>
        <v>2.95</v>
      </c>
      <c r="N76" s="23" t="n">
        <f aca="false">SUM(I76:K76)</f>
        <v>2.5</v>
      </c>
      <c r="O76" s="18" t="s">
        <v>381</v>
      </c>
      <c r="P76" s="19" t="s">
        <v>119</v>
      </c>
      <c r="Q76" s="18"/>
    </row>
    <row r="77" customFormat="false" ht="15" hidden="false" customHeight="false" outlineLevel="0" collapsed="false">
      <c r="A77" s="19" t="s">
        <v>382</v>
      </c>
      <c r="B77" s="18" t="s">
        <v>354</v>
      </c>
      <c r="C77" s="18" t="s">
        <v>383</v>
      </c>
      <c r="D77" s="18" t="s">
        <v>384</v>
      </c>
      <c r="E77" s="18" t="s">
        <v>254</v>
      </c>
      <c r="F77" s="19" t="s">
        <v>117</v>
      </c>
      <c r="G77" s="19" t="s">
        <v>376</v>
      </c>
      <c r="H77" s="22" t="n">
        <v>0.25</v>
      </c>
      <c r="I77" s="22" t="n">
        <v>0.75</v>
      </c>
      <c r="J77" s="22" t="n">
        <v>0.5</v>
      </c>
      <c r="K77" s="22" t="n">
        <v>2</v>
      </c>
      <c r="L77" s="22" t="n">
        <v>0.4</v>
      </c>
      <c r="M77" s="23" t="n">
        <f aca="false">SUM(H77:L77)</f>
        <v>3.9</v>
      </c>
      <c r="N77" s="23" t="n">
        <f aca="false">SUM(I77:K77)</f>
        <v>3.25</v>
      </c>
      <c r="O77" s="18" t="s">
        <v>385</v>
      </c>
      <c r="P77" s="19" t="s">
        <v>119</v>
      </c>
      <c r="Q77" s="18"/>
    </row>
    <row r="78" customFormat="false" ht="15" hidden="false" customHeight="false" outlineLevel="0" collapsed="false">
      <c r="A78" s="19" t="s">
        <v>386</v>
      </c>
      <c r="B78" s="18" t="s">
        <v>354</v>
      </c>
      <c r="C78" s="18" t="s">
        <v>387</v>
      </c>
      <c r="D78" s="18" t="s">
        <v>388</v>
      </c>
      <c r="E78" s="18" t="s">
        <v>254</v>
      </c>
      <c r="F78" s="19" t="s">
        <v>117</v>
      </c>
      <c r="G78" s="19" t="s">
        <v>376</v>
      </c>
      <c r="H78" s="22" t="n">
        <v>0.25</v>
      </c>
      <c r="I78" s="22" t="n">
        <v>0.25</v>
      </c>
      <c r="J78" s="22" t="n">
        <v>0.5</v>
      </c>
      <c r="K78" s="22" t="n">
        <v>1.5</v>
      </c>
      <c r="L78" s="22" t="n">
        <v>0.2</v>
      </c>
      <c r="M78" s="23" t="n">
        <f aca="false">SUM(H78:L78)</f>
        <v>2.7</v>
      </c>
      <c r="N78" s="23" t="n">
        <f aca="false">SUM(I78:K78)</f>
        <v>2.25</v>
      </c>
      <c r="O78" s="18" t="s">
        <v>389</v>
      </c>
      <c r="P78" s="19" t="s">
        <v>119</v>
      </c>
      <c r="Q78" s="18"/>
    </row>
    <row r="79" customFormat="false" ht="15" hidden="false" customHeight="false" outlineLevel="0" collapsed="false">
      <c r="A79" s="19" t="s">
        <v>390</v>
      </c>
      <c r="B79" s="18" t="s">
        <v>354</v>
      </c>
      <c r="C79" s="18" t="s">
        <v>391</v>
      </c>
      <c r="D79" s="18" t="s">
        <v>392</v>
      </c>
      <c r="E79" s="18" t="s">
        <v>254</v>
      </c>
      <c r="F79" s="19" t="s">
        <v>134</v>
      </c>
      <c r="G79" s="19" t="s">
        <v>135</v>
      </c>
      <c r="H79" s="22" t="n">
        <v>0.25</v>
      </c>
      <c r="I79" s="22" t="n">
        <v>0.25</v>
      </c>
      <c r="J79" s="22" t="n">
        <v>0.5</v>
      </c>
      <c r="K79" s="22" t="n">
        <v>0.75</v>
      </c>
      <c r="L79" s="22" t="n">
        <v>0.2</v>
      </c>
      <c r="M79" s="23" t="n">
        <f aca="false">SUM(H79:L79)</f>
        <v>1.95</v>
      </c>
      <c r="N79" s="23" t="n">
        <f aca="false">SUM(I79:K79)</f>
        <v>1.5</v>
      </c>
      <c r="O79" s="18" t="s">
        <v>59</v>
      </c>
      <c r="P79" s="19" t="s">
        <v>119</v>
      </c>
      <c r="Q79" s="18" t="s">
        <v>136</v>
      </c>
    </row>
    <row r="80" customFormat="false" ht="15" hidden="false" customHeight="false" outlineLevel="0" collapsed="false">
      <c r="A80" s="19" t="s">
        <v>393</v>
      </c>
      <c r="B80" s="18" t="s">
        <v>354</v>
      </c>
      <c r="C80" s="18" t="s">
        <v>394</v>
      </c>
      <c r="D80" s="18" t="s">
        <v>395</v>
      </c>
      <c r="E80" s="18" t="s">
        <v>254</v>
      </c>
      <c r="F80" s="19" t="s">
        <v>134</v>
      </c>
      <c r="G80" s="19" t="s">
        <v>135</v>
      </c>
      <c r="H80" s="22" t="n">
        <v>0.1</v>
      </c>
      <c r="I80" s="22" t="n">
        <v>0.25</v>
      </c>
      <c r="J80" s="22" t="n">
        <v>0.25</v>
      </c>
      <c r="K80" s="22" t="n">
        <v>0.75</v>
      </c>
      <c r="L80" s="22" t="n">
        <v>0.2</v>
      </c>
      <c r="M80" s="23" t="n">
        <f aca="false">SUM(H80:L80)</f>
        <v>1.55</v>
      </c>
      <c r="N80" s="23" t="n">
        <f aca="false">SUM(I80:K80)</f>
        <v>1.25</v>
      </c>
      <c r="O80" s="18" t="s">
        <v>59</v>
      </c>
      <c r="P80" s="19" t="s">
        <v>119</v>
      </c>
      <c r="Q80" s="18" t="s">
        <v>136</v>
      </c>
    </row>
    <row r="81" customFormat="false" ht="15" hidden="false" customHeight="false" outlineLevel="0" collapsed="false">
      <c r="A81" s="19" t="s">
        <v>396</v>
      </c>
      <c r="B81" s="18" t="s">
        <v>354</v>
      </c>
      <c r="C81" s="18" t="s">
        <v>397</v>
      </c>
      <c r="D81" s="18" t="s">
        <v>398</v>
      </c>
      <c r="E81" s="18" t="s">
        <v>243</v>
      </c>
      <c r="F81" s="19" t="s">
        <v>117</v>
      </c>
      <c r="G81" s="19" t="s">
        <v>376</v>
      </c>
      <c r="H81" s="22" t="n">
        <v>0.25</v>
      </c>
      <c r="I81" s="22" t="n">
        <v>1.25</v>
      </c>
      <c r="J81" s="22" t="n">
        <v>0.25</v>
      </c>
      <c r="K81" s="22" t="n">
        <v>1.25</v>
      </c>
      <c r="L81" s="22" t="n">
        <v>0.4</v>
      </c>
      <c r="M81" s="23" t="n">
        <f aca="false">SUM(H81:L81)</f>
        <v>3.4</v>
      </c>
      <c r="N81" s="23" t="n">
        <f aca="false">SUM(I81:K81)</f>
        <v>2.75</v>
      </c>
      <c r="O81" s="18" t="s">
        <v>389</v>
      </c>
      <c r="P81" s="19" t="s">
        <v>119</v>
      </c>
      <c r="Q81" s="18"/>
    </row>
    <row r="82" customFormat="false" ht="15" hidden="false" customHeight="false" outlineLevel="0" collapsed="false">
      <c r="A82" s="19" t="s">
        <v>399</v>
      </c>
      <c r="B82" s="18" t="s">
        <v>354</v>
      </c>
      <c r="C82" s="18" t="s">
        <v>400</v>
      </c>
      <c r="D82" s="18" t="s">
        <v>401</v>
      </c>
      <c r="E82" s="18" t="s">
        <v>254</v>
      </c>
      <c r="F82" s="19" t="s">
        <v>134</v>
      </c>
      <c r="G82" s="19" t="s">
        <v>135</v>
      </c>
      <c r="H82" s="22" t="n">
        <v>0.5</v>
      </c>
      <c r="I82" s="22" t="n">
        <v>0.25</v>
      </c>
      <c r="J82" s="22" t="n">
        <v>2.5</v>
      </c>
      <c r="K82" s="22" t="n">
        <v>0</v>
      </c>
      <c r="L82" s="22" t="n">
        <v>0.4</v>
      </c>
      <c r="M82" s="23" t="n">
        <f aca="false">SUM(H82:L82)</f>
        <v>3.65</v>
      </c>
      <c r="N82" s="23" t="n">
        <f aca="false">SUM(I82:K82)</f>
        <v>2.75</v>
      </c>
      <c r="O82" s="18" t="s">
        <v>59</v>
      </c>
      <c r="P82" s="19" t="s">
        <v>119</v>
      </c>
      <c r="Q82" s="18" t="s">
        <v>136</v>
      </c>
    </row>
    <row r="83" customFormat="false" ht="15" hidden="false" customHeight="false" outlineLevel="0" collapsed="false">
      <c r="A83" s="19" t="s">
        <v>402</v>
      </c>
      <c r="B83" s="18" t="s">
        <v>354</v>
      </c>
      <c r="C83" s="18" t="s">
        <v>403</v>
      </c>
      <c r="D83" s="18" t="s">
        <v>404</v>
      </c>
      <c r="E83" s="18" t="s">
        <v>254</v>
      </c>
      <c r="F83" s="19" t="s">
        <v>117</v>
      </c>
      <c r="G83" s="19" t="s">
        <v>200</v>
      </c>
      <c r="H83" s="22" t="n">
        <v>0.25</v>
      </c>
      <c r="I83" s="22" t="n">
        <v>0.75</v>
      </c>
      <c r="J83" s="22" t="n">
        <v>0.75</v>
      </c>
      <c r="K83" s="22" t="n">
        <v>0.5</v>
      </c>
      <c r="L83" s="22" t="n">
        <v>0.2</v>
      </c>
      <c r="M83" s="23" t="n">
        <f aca="false">SUM(H83:L83)</f>
        <v>2.45</v>
      </c>
      <c r="N83" s="23" t="n">
        <f aca="false">SUM(I83:K83)</f>
        <v>2</v>
      </c>
      <c r="O83" s="18" t="s">
        <v>385</v>
      </c>
      <c r="P83" s="19" t="s">
        <v>119</v>
      </c>
      <c r="Q83" s="18"/>
    </row>
    <row r="84" customFormat="false" ht="15" hidden="false" customHeight="false" outlineLevel="0" collapsed="false">
      <c r="A84" s="19" t="s">
        <v>405</v>
      </c>
      <c r="B84" s="18" t="s">
        <v>354</v>
      </c>
      <c r="C84" s="18" t="s">
        <v>406</v>
      </c>
      <c r="D84" s="18" t="s">
        <v>407</v>
      </c>
      <c r="E84" s="18" t="s">
        <v>254</v>
      </c>
      <c r="F84" s="19" t="s">
        <v>117</v>
      </c>
      <c r="G84" s="19" t="s">
        <v>298</v>
      </c>
      <c r="H84" s="22" t="n">
        <v>0.1</v>
      </c>
      <c r="I84" s="22" t="n">
        <v>0.75</v>
      </c>
      <c r="J84" s="22" t="n">
        <v>0.75</v>
      </c>
      <c r="K84" s="22" t="n">
        <v>0</v>
      </c>
      <c r="L84" s="22" t="n">
        <v>0.2</v>
      </c>
      <c r="M84" s="23" t="n">
        <f aca="false">SUM(H84:L84)</f>
        <v>1.8</v>
      </c>
      <c r="N84" s="23" t="n">
        <f aca="false">SUM(I84:K84)</f>
        <v>1.5</v>
      </c>
      <c r="O84" s="18" t="s">
        <v>385</v>
      </c>
      <c r="P84" s="19" t="s">
        <v>119</v>
      </c>
      <c r="Q84" s="18"/>
    </row>
    <row r="85" customFormat="false" ht="15" hidden="false" customHeight="false" outlineLevel="0" collapsed="false">
      <c r="A85" s="19" t="s">
        <v>408</v>
      </c>
      <c r="B85" s="18" t="s">
        <v>354</v>
      </c>
      <c r="C85" s="18" t="s">
        <v>409</v>
      </c>
      <c r="D85" s="18" t="s">
        <v>410</v>
      </c>
      <c r="E85" s="18" t="s">
        <v>87</v>
      </c>
      <c r="F85" s="19" t="s">
        <v>117</v>
      </c>
      <c r="G85" s="19" t="s">
        <v>376</v>
      </c>
      <c r="H85" s="22" t="n">
        <v>0.5</v>
      </c>
      <c r="I85" s="22" t="n">
        <v>1</v>
      </c>
      <c r="J85" s="22" t="n">
        <v>0.75</v>
      </c>
      <c r="K85" s="22" t="n">
        <v>0.25</v>
      </c>
      <c r="L85" s="22" t="n">
        <v>0.2</v>
      </c>
      <c r="M85" s="23" t="n">
        <f aca="false">SUM(H85:L85)</f>
        <v>2.7</v>
      </c>
      <c r="N85" s="23" t="n">
        <f aca="false">SUM(I85:K85)</f>
        <v>2</v>
      </c>
      <c r="O85" s="18" t="s">
        <v>411</v>
      </c>
      <c r="P85" s="19" t="s">
        <v>119</v>
      </c>
      <c r="Q85" s="18"/>
    </row>
    <row r="86" customFormat="false" ht="15" hidden="false" customHeight="false" outlineLevel="0" collapsed="false">
      <c r="A86" s="19" t="s">
        <v>412</v>
      </c>
      <c r="B86" s="18" t="s">
        <v>354</v>
      </c>
      <c r="C86" s="18" t="s">
        <v>413</v>
      </c>
      <c r="D86" s="18" t="s">
        <v>414</v>
      </c>
      <c r="E86" s="18" t="s">
        <v>72</v>
      </c>
      <c r="F86" s="19" t="s">
        <v>117</v>
      </c>
      <c r="G86" s="19" t="s">
        <v>200</v>
      </c>
      <c r="H86" s="22" t="n">
        <v>0.25</v>
      </c>
      <c r="I86" s="22" t="n">
        <v>0.75</v>
      </c>
      <c r="J86" s="22" t="n">
        <v>0.75</v>
      </c>
      <c r="K86" s="22" t="n">
        <v>0</v>
      </c>
      <c r="L86" s="22" t="n">
        <v>0.2</v>
      </c>
      <c r="M86" s="23" t="n">
        <f aca="false">SUM(H86:L86)</f>
        <v>1.95</v>
      </c>
      <c r="N86" s="23" t="n">
        <f aca="false">SUM(I86:K86)</f>
        <v>1.5</v>
      </c>
      <c r="O86" s="18" t="s">
        <v>226</v>
      </c>
      <c r="P86" s="19" t="s">
        <v>119</v>
      </c>
      <c r="Q86" s="18"/>
    </row>
    <row r="87" customFormat="false" ht="23.85" hidden="false" customHeight="false" outlineLevel="0" collapsed="false">
      <c r="A87" s="19" t="s">
        <v>415</v>
      </c>
      <c r="B87" s="18" t="s">
        <v>354</v>
      </c>
      <c r="C87" s="18" t="s">
        <v>416</v>
      </c>
      <c r="D87" s="18" t="s">
        <v>417</v>
      </c>
      <c r="E87" s="18" t="s">
        <v>76</v>
      </c>
      <c r="F87" s="19" t="s">
        <v>117</v>
      </c>
      <c r="G87" s="19" t="s">
        <v>200</v>
      </c>
      <c r="H87" s="22" t="n">
        <v>0.5</v>
      </c>
      <c r="I87" s="22" t="n">
        <v>0.5</v>
      </c>
      <c r="J87" s="22" t="n">
        <v>0.5</v>
      </c>
      <c r="K87" s="22" t="n">
        <v>1</v>
      </c>
      <c r="L87" s="22" t="n">
        <v>0.2</v>
      </c>
      <c r="M87" s="23" t="n">
        <f aca="false">SUM(H87:L87)</f>
        <v>2.7</v>
      </c>
      <c r="N87" s="23" t="n">
        <f aca="false">SUM(I87:K87)</f>
        <v>2</v>
      </c>
      <c r="O87" s="18" t="s">
        <v>418</v>
      </c>
      <c r="P87" s="19" t="s">
        <v>119</v>
      </c>
      <c r="Q87" s="18"/>
    </row>
    <row r="88" customFormat="false" ht="15" hidden="false" customHeight="false" outlineLevel="0" collapsed="false">
      <c r="A88" s="19" t="s">
        <v>419</v>
      </c>
      <c r="B88" s="18" t="s">
        <v>354</v>
      </c>
      <c r="C88" s="18" t="s">
        <v>420</v>
      </c>
      <c r="D88" s="18" t="s">
        <v>421</v>
      </c>
      <c r="E88" s="18" t="s">
        <v>243</v>
      </c>
      <c r="F88" s="19" t="s">
        <v>134</v>
      </c>
      <c r="G88" s="19" t="s">
        <v>135</v>
      </c>
      <c r="H88" s="22" t="n">
        <v>0.25</v>
      </c>
      <c r="I88" s="22" t="n">
        <v>0.25</v>
      </c>
      <c r="J88" s="22" t="n">
        <v>0.25</v>
      </c>
      <c r="K88" s="22" t="n">
        <v>0.25</v>
      </c>
      <c r="L88" s="22" t="n">
        <v>0.1</v>
      </c>
      <c r="M88" s="23" t="n">
        <f aca="false">SUM(H88:L88)</f>
        <v>1.1</v>
      </c>
      <c r="N88" s="23" t="n">
        <f aca="false">SUM(I88:K88)</f>
        <v>0.75</v>
      </c>
      <c r="O88" s="18" t="s">
        <v>59</v>
      </c>
      <c r="P88" s="19" t="s">
        <v>119</v>
      </c>
      <c r="Q88" s="18" t="s">
        <v>136</v>
      </c>
    </row>
    <row r="89" customFormat="false" ht="15" hidden="false" customHeight="false" outlineLevel="0" collapsed="false">
      <c r="A89" s="19" t="s">
        <v>422</v>
      </c>
      <c r="B89" s="18" t="s">
        <v>354</v>
      </c>
      <c r="C89" s="18" t="s">
        <v>423</v>
      </c>
      <c r="D89" s="18" t="s">
        <v>424</v>
      </c>
      <c r="E89" s="18" t="s">
        <v>254</v>
      </c>
      <c r="F89" s="19" t="s">
        <v>157</v>
      </c>
      <c r="G89" s="19" t="s">
        <v>135</v>
      </c>
      <c r="H89" s="22" t="n">
        <v>0.25</v>
      </c>
      <c r="I89" s="22" t="n">
        <v>0.5</v>
      </c>
      <c r="J89" s="22" t="n">
        <v>0.75</v>
      </c>
      <c r="K89" s="22" t="n">
        <v>0.75</v>
      </c>
      <c r="L89" s="22" t="n">
        <v>0.2</v>
      </c>
      <c r="M89" s="23" t="n">
        <f aca="false">SUM(H89:L89)</f>
        <v>2.45</v>
      </c>
      <c r="N89" s="23" t="n">
        <f aca="false">SUM(I89:K89)</f>
        <v>2</v>
      </c>
      <c r="O89" s="18" t="s">
        <v>59</v>
      </c>
      <c r="P89" s="19" t="s">
        <v>119</v>
      </c>
      <c r="Q89" s="18" t="s">
        <v>136</v>
      </c>
    </row>
    <row r="90" customFormat="false" ht="15" hidden="false" customHeight="false" outlineLevel="0" collapsed="false">
      <c r="A90" s="19" t="s">
        <v>425</v>
      </c>
      <c r="B90" s="18" t="s">
        <v>354</v>
      </c>
      <c r="C90" s="18" t="s">
        <v>426</v>
      </c>
      <c r="D90" s="18" t="s">
        <v>427</v>
      </c>
      <c r="E90" s="18" t="s">
        <v>61</v>
      </c>
      <c r="F90" s="19" t="s">
        <v>157</v>
      </c>
      <c r="G90" s="19" t="s">
        <v>135</v>
      </c>
      <c r="H90" s="22" t="n">
        <v>1</v>
      </c>
      <c r="I90" s="22" t="n">
        <v>2</v>
      </c>
      <c r="J90" s="22" t="n">
        <v>2</v>
      </c>
      <c r="K90" s="22" t="n">
        <v>1</v>
      </c>
      <c r="L90" s="22" t="n">
        <v>0.8</v>
      </c>
      <c r="M90" s="23" t="n">
        <f aca="false">SUM(H90:L90)</f>
        <v>6.8</v>
      </c>
      <c r="N90" s="23" t="n">
        <f aca="false">SUM(I90:K90)</f>
        <v>5</v>
      </c>
      <c r="O90" s="18" t="s">
        <v>59</v>
      </c>
      <c r="P90" s="19" t="s">
        <v>119</v>
      </c>
      <c r="Q90" s="18" t="s">
        <v>136</v>
      </c>
    </row>
    <row r="91" customFormat="false" ht="15" hidden="false" customHeight="false" outlineLevel="0" collapsed="false">
      <c r="A91" s="19" t="s">
        <v>428</v>
      </c>
      <c r="B91" s="18" t="s">
        <v>429</v>
      </c>
      <c r="C91" s="18" t="s">
        <v>430</v>
      </c>
      <c r="D91" s="18" t="s">
        <v>431</v>
      </c>
      <c r="E91" s="18" t="s">
        <v>243</v>
      </c>
      <c r="F91" s="19" t="s">
        <v>117</v>
      </c>
      <c r="G91" s="19" t="s">
        <v>225</v>
      </c>
      <c r="H91" s="22" t="n">
        <v>0.1</v>
      </c>
      <c r="I91" s="22" t="n">
        <v>0.75</v>
      </c>
      <c r="J91" s="22" t="n">
        <v>0.25</v>
      </c>
      <c r="K91" s="22" t="n">
        <v>0</v>
      </c>
      <c r="L91" s="22" t="n">
        <v>0.1</v>
      </c>
      <c r="M91" s="23" t="n">
        <f aca="false">SUM(H91:L91)</f>
        <v>1.2</v>
      </c>
      <c r="N91" s="23" t="n">
        <f aca="false">SUM(I91:K91)</f>
        <v>1</v>
      </c>
      <c r="O91" s="18" t="s">
        <v>432</v>
      </c>
      <c r="P91" s="19" t="s">
        <v>119</v>
      </c>
      <c r="Q91" s="18"/>
    </row>
    <row r="92" customFormat="false" ht="15" hidden="false" customHeight="false" outlineLevel="0" collapsed="false">
      <c r="A92" s="19" t="s">
        <v>433</v>
      </c>
      <c r="B92" s="18" t="s">
        <v>429</v>
      </c>
      <c r="C92" s="18" t="s">
        <v>434</v>
      </c>
      <c r="D92" s="18" t="s">
        <v>435</v>
      </c>
      <c r="E92" s="18" t="s">
        <v>61</v>
      </c>
      <c r="F92" s="19" t="s">
        <v>134</v>
      </c>
      <c r="G92" s="19" t="s">
        <v>135</v>
      </c>
      <c r="H92" s="22" t="n">
        <v>0.1</v>
      </c>
      <c r="I92" s="22" t="n">
        <v>0.5</v>
      </c>
      <c r="J92" s="22" t="n">
        <v>0.5</v>
      </c>
      <c r="K92" s="22" t="n">
        <v>0</v>
      </c>
      <c r="L92" s="22" t="n">
        <v>0.1</v>
      </c>
      <c r="M92" s="23" t="n">
        <f aca="false">SUM(H92:L92)</f>
        <v>1.2</v>
      </c>
      <c r="N92" s="23" t="n">
        <f aca="false">SUM(I92:K92)</f>
        <v>1</v>
      </c>
      <c r="O92" s="18" t="s">
        <v>59</v>
      </c>
      <c r="P92" s="19" t="s">
        <v>119</v>
      </c>
      <c r="Q92" s="18" t="s">
        <v>136</v>
      </c>
    </row>
    <row r="93" customFormat="false" ht="15" hidden="false" customHeight="false" outlineLevel="0" collapsed="false">
      <c r="A93" s="19" t="s">
        <v>436</v>
      </c>
      <c r="B93" s="18" t="s">
        <v>429</v>
      </c>
      <c r="C93" s="18" t="s">
        <v>437</v>
      </c>
      <c r="D93" s="18" t="s">
        <v>438</v>
      </c>
      <c r="E93" s="18" t="s">
        <v>87</v>
      </c>
      <c r="F93" s="19" t="s">
        <v>134</v>
      </c>
      <c r="G93" s="19" t="s">
        <v>135</v>
      </c>
      <c r="H93" s="22" t="n">
        <v>0.1</v>
      </c>
      <c r="I93" s="22" t="n">
        <v>0.5</v>
      </c>
      <c r="J93" s="22" t="n">
        <v>0</v>
      </c>
      <c r="K93" s="22" t="n">
        <v>0</v>
      </c>
      <c r="L93" s="22" t="n">
        <v>0.1</v>
      </c>
      <c r="M93" s="23" t="n">
        <f aca="false">SUM(H93:L93)</f>
        <v>0.7</v>
      </c>
      <c r="N93" s="23" t="n">
        <f aca="false">SUM(I93:K93)</f>
        <v>0.5</v>
      </c>
      <c r="O93" s="18" t="s">
        <v>59</v>
      </c>
      <c r="P93" s="19" t="s">
        <v>119</v>
      </c>
      <c r="Q93" s="18" t="s">
        <v>136</v>
      </c>
    </row>
    <row r="94" customFormat="false" ht="15" hidden="false" customHeight="false" outlineLevel="0" collapsed="false">
      <c r="A94" s="19" t="s">
        <v>439</v>
      </c>
      <c r="B94" s="18" t="s">
        <v>429</v>
      </c>
      <c r="C94" s="18" t="s">
        <v>440</v>
      </c>
      <c r="D94" s="18" t="s">
        <v>441</v>
      </c>
      <c r="E94" s="18" t="s">
        <v>78</v>
      </c>
      <c r="F94" s="19" t="s">
        <v>157</v>
      </c>
      <c r="G94" s="19" t="s">
        <v>135</v>
      </c>
      <c r="H94" s="22" t="n">
        <v>0.1</v>
      </c>
      <c r="I94" s="22" t="n">
        <v>0.5</v>
      </c>
      <c r="J94" s="22" t="n">
        <v>0.25</v>
      </c>
      <c r="K94" s="22" t="n">
        <v>0</v>
      </c>
      <c r="L94" s="22" t="n">
        <v>0.1</v>
      </c>
      <c r="M94" s="23" t="n">
        <f aca="false">SUM(H94:L94)</f>
        <v>0.95</v>
      </c>
      <c r="N94" s="23" t="n">
        <f aca="false">SUM(I94:K94)</f>
        <v>0.75</v>
      </c>
      <c r="O94" s="18" t="s">
        <v>59</v>
      </c>
      <c r="P94" s="19" t="s">
        <v>119</v>
      </c>
      <c r="Q94" s="18" t="s">
        <v>136</v>
      </c>
    </row>
    <row r="95" customFormat="false" ht="15" hidden="false" customHeight="false" outlineLevel="0" collapsed="false">
      <c r="A95" s="19" t="s">
        <v>442</v>
      </c>
      <c r="B95" s="18" t="s">
        <v>443</v>
      </c>
      <c r="C95" s="18" t="s">
        <v>444</v>
      </c>
      <c r="D95" s="18" t="s">
        <v>445</v>
      </c>
      <c r="E95" s="18" t="s">
        <v>243</v>
      </c>
      <c r="F95" s="19" t="s">
        <v>117</v>
      </c>
      <c r="G95" s="19" t="s">
        <v>298</v>
      </c>
      <c r="H95" s="22" t="n">
        <v>0.1</v>
      </c>
      <c r="I95" s="22" t="n">
        <v>1</v>
      </c>
      <c r="J95" s="22" t="n">
        <v>0.25</v>
      </c>
      <c r="K95" s="22" t="n">
        <v>0</v>
      </c>
      <c r="L95" s="22" t="n">
        <v>0.2</v>
      </c>
      <c r="M95" s="23" t="n">
        <f aca="false">SUM(H95:L95)</f>
        <v>1.55</v>
      </c>
      <c r="N95" s="23" t="n">
        <f aca="false">SUM(I95:K95)</f>
        <v>1.25</v>
      </c>
      <c r="O95" s="18" t="s">
        <v>446</v>
      </c>
      <c r="P95" s="19" t="s">
        <v>119</v>
      </c>
      <c r="Q95" s="18"/>
    </row>
    <row r="96" customFormat="false" ht="15" hidden="false" customHeight="false" outlineLevel="0" collapsed="false">
      <c r="A96" s="19" t="s">
        <v>447</v>
      </c>
      <c r="B96" s="18" t="s">
        <v>443</v>
      </c>
      <c r="C96" s="18" t="s">
        <v>448</v>
      </c>
      <c r="D96" s="18" t="s">
        <v>449</v>
      </c>
      <c r="E96" s="18" t="s">
        <v>78</v>
      </c>
      <c r="F96" s="19" t="s">
        <v>117</v>
      </c>
      <c r="G96" s="19" t="s">
        <v>200</v>
      </c>
      <c r="H96" s="22" t="n">
        <v>0.25</v>
      </c>
      <c r="I96" s="22" t="n">
        <v>1</v>
      </c>
      <c r="J96" s="22" t="n">
        <v>1.5</v>
      </c>
      <c r="K96" s="22" t="n">
        <v>0</v>
      </c>
      <c r="L96" s="22" t="n">
        <v>0.2</v>
      </c>
      <c r="M96" s="23" t="n">
        <f aca="false">SUM(H96:L96)</f>
        <v>2.95</v>
      </c>
      <c r="N96" s="23" t="n">
        <f aca="false">SUM(I96:K96)</f>
        <v>2.5</v>
      </c>
      <c r="O96" s="18" t="s">
        <v>450</v>
      </c>
      <c r="P96" s="19" t="s">
        <v>119</v>
      </c>
      <c r="Q96" s="18"/>
    </row>
    <row r="97" customFormat="false" ht="15" hidden="false" customHeight="false" outlineLevel="0" collapsed="false">
      <c r="A97" s="19" t="s">
        <v>451</v>
      </c>
      <c r="B97" s="18" t="s">
        <v>443</v>
      </c>
      <c r="C97" s="18" t="s">
        <v>452</v>
      </c>
      <c r="D97" s="18" t="s">
        <v>453</v>
      </c>
      <c r="E97" s="18" t="s">
        <v>87</v>
      </c>
      <c r="F97" s="19" t="s">
        <v>134</v>
      </c>
      <c r="G97" s="19" t="s">
        <v>135</v>
      </c>
      <c r="H97" s="22" t="n">
        <v>0.25</v>
      </c>
      <c r="I97" s="22" t="n">
        <v>0.5</v>
      </c>
      <c r="J97" s="22" t="n">
        <v>1</v>
      </c>
      <c r="K97" s="22" t="n">
        <v>0</v>
      </c>
      <c r="L97" s="22" t="n">
        <v>0.2</v>
      </c>
      <c r="M97" s="23" t="n">
        <f aca="false">SUM(H97:L97)</f>
        <v>1.95</v>
      </c>
      <c r="N97" s="23" t="n">
        <f aca="false">SUM(I97:K97)</f>
        <v>1.5</v>
      </c>
      <c r="O97" s="18" t="s">
        <v>59</v>
      </c>
      <c r="P97" s="19" t="s">
        <v>119</v>
      </c>
      <c r="Q97" s="18" t="s">
        <v>136</v>
      </c>
    </row>
    <row r="98" customFormat="false" ht="15" hidden="false" customHeight="false" outlineLevel="0" collapsed="false">
      <c r="A98" s="19" t="s">
        <v>454</v>
      </c>
      <c r="B98" s="18" t="s">
        <v>443</v>
      </c>
      <c r="C98" s="18" t="s">
        <v>455</v>
      </c>
      <c r="D98" s="18" t="s">
        <v>456</v>
      </c>
      <c r="E98" s="18" t="s">
        <v>87</v>
      </c>
      <c r="F98" s="19" t="s">
        <v>157</v>
      </c>
      <c r="G98" s="19" t="s">
        <v>135</v>
      </c>
      <c r="H98" s="22" t="n">
        <v>0.1</v>
      </c>
      <c r="I98" s="22" t="n">
        <v>0.5</v>
      </c>
      <c r="J98" s="22" t="n">
        <v>0.25</v>
      </c>
      <c r="K98" s="22" t="n">
        <v>0</v>
      </c>
      <c r="L98" s="22" t="n">
        <v>0.1</v>
      </c>
      <c r="M98" s="23" t="n">
        <f aca="false">SUM(H98:L98)</f>
        <v>0.95</v>
      </c>
      <c r="N98" s="23" t="n">
        <f aca="false">SUM(I98:K98)</f>
        <v>0.75</v>
      </c>
      <c r="O98" s="18" t="s">
        <v>59</v>
      </c>
      <c r="P98" s="19" t="s">
        <v>119</v>
      </c>
      <c r="Q98" s="18" t="s">
        <v>136</v>
      </c>
    </row>
  </sheetData>
  <autoFilter ref="A3:Q98"/>
  <conditionalFormatting sqref="F4:F500">
    <cfRule type="cellIs" priority="2" operator="equal" aboveAverage="0" equalAverage="0" bottom="0" percent="0" rank="0" text="" dxfId="13">
      <formula>"Must"</formula>
    </cfRule>
    <cfRule type="cellIs" priority="3" operator="equal" aboveAverage="0" equalAverage="0" bottom="0" percent="0" rank="0" text="" dxfId="14">
      <formula>"Should"</formula>
    </cfRule>
    <cfRule type="cellIs" priority="4" operator="equal" aboveAverage="0" equalAverage="0" bottom="0" percent="0" rank="0" text="" dxfId="15">
      <formula>"Could"</formula>
    </cfRule>
  </conditionalFormatting>
  <conditionalFormatting sqref="G4:G500">
    <cfRule type="cellIs" priority="5" operator="equal" aboveAverage="0" equalAverage="0" bottom="0" percent="0" rank="0" text="" dxfId="16">
      <formula>"Backlog"</formula>
    </cfRule>
  </conditionalFormatting>
  <dataValidations count="3">
    <dataValidation allowBlank="true" errorStyle="stop" operator="between" showDropDown="false" showErrorMessage="false" showInputMessage="false" sqref="F4:F500" type="list">
      <formula1>"Must,Should,Could"</formula1>
      <formula2>0</formula2>
    </dataValidation>
    <dataValidation allowBlank="true" errorStyle="stop" operator="between" showDropDown="false" showErrorMessage="false" showInputMessage="false" sqref="G4:G500" type="list">
      <formula1>"S1,S2,S3,S4,S5,S6,S7,S8,Backlog"</formula1>
      <formula2>0</formula2>
    </dataValidation>
    <dataValidation allowBlank="true" errorStyle="stop" operator="between" showDropDown="false" showErrorMessage="false" showInputMessage="false" sqref="P4:P500" type="list">
      <formula1>"Đề xuất,Khách đã duyệt,Đang làm,Hoàn thành,Hoãn"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2937"/>
    <pageSetUpPr fitToPage="false"/>
  </sheetPr>
  <dimension ref="A1:K25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0"/>
    <col collapsed="false" customWidth="true" hidden="false" outlineLevel="0" max="3" min="3" style="0" width="15"/>
    <col collapsed="false" customWidth="true" hidden="false" outlineLevel="0" max="4" min="4" style="0" width="12"/>
    <col collapsed="false" customWidth="true" hidden="false" outlineLevel="0" max="5" min="5" style="0" width="24"/>
    <col collapsed="false" customWidth="true" hidden="false" outlineLevel="0" max="6" min="6" style="0" width="28"/>
    <col collapsed="false" customWidth="true" hidden="false" outlineLevel="0" max="7" min="7" style="0" width="52"/>
    <col collapsed="false" customWidth="true" hidden="false" outlineLevel="0" max="8" min="8" style="0" width="44"/>
    <col collapsed="false" customWidth="true" hidden="false" outlineLevel="0" max="9" min="9" style="0" width="30"/>
    <col collapsed="false" customWidth="true" hidden="false" outlineLevel="0" max="11" min="10" style="0" width="10"/>
  </cols>
  <sheetData>
    <row r="1" customFormat="false" ht="17.35" hidden="false" customHeight="false" outlineLevel="0" collapsed="false">
      <c r="A1" s="1" t="s">
        <v>457</v>
      </c>
    </row>
    <row r="2" customFormat="false" ht="15" hidden="false" customHeight="false" outlineLevel="0" collapsed="false">
      <c r="A2" s="2" t="s">
        <v>458</v>
      </c>
    </row>
    <row r="3" customFormat="false" ht="31.5" hidden="false" customHeight="true" outlineLevel="0" collapsed="false">
      <c r="A3" s="16" t="s">
        <v>96</v>
      </c>
      <c r="B3" s="16" t="s">
        <v>459</v>
      </c>
      <c r="C3" s="16" t="s">
        <v>99</v>
      </c>
      <c r="D3" s="16" t="s">
        <v>460</v>
      </c>
      <c r="E3" s="16" t="s">
        <v>461</v>
      </c>
      <c r="F3" s="16" t="s">
        <v>462</v>
      </c>
      <c r="G3" s="16" t="s">
        <v>463</v>
      </c>
      <c r="H3" s="16" t="s">
        <v>464</v>
      </c>
      <c r="I3" s="16" t="s">
        <v>465</v>
      </c>
      <c r="J3" s="16" t="s">
        <v>100</v>
      </c>
      <c r="K3" s="16" t="s">
        <v>101</v>
      </c>
    </row>
    <row r="4" customFormat="false" ht="46.25" hidden="false" customHeight="false" outlineLevel="0" collapsed="false">
      <c r="A4" s="24" t="s">
        <v>466</v>
      </c>
      <c r="B4" s="18" t="s">
        <v>467</v>
      </c>
      <c r="C4" s="18" t="s">
        <v>56</v>
      </c>
      <c r="D4" s="18" t="s">
        <v>287</v>
      </c>
      <c r="E4" s="18" t="s">
        <v>468</v>
      </c>
      <c r="F4" s="18" t="s">
        <v>469</v>
      </c>
      <c r="G4" s="18" t="s">
        <v>470</v>
      </c>
      <c r="H4" s="18" t="s">
        <v>471</v>
      </c>
      <c r="I4" s="18" t="s">
        <v>472</v>
      </c>
      <c r="J4" s="19" t="str">
        <f aca="false">INDEX(FR!$F$4:$F$500,MATCH(D4,FR!$A$4:$A$500,0))</f>
        <v>Must</v>
      </c>
      <c r="K4" s="19" t="str">
        <f aca="false">INDEX(FR!$G$4:$G$500,MATCH(D4,FR!$A$4:$A$500,0))</f>
        <v>S3</v>
      </c>
    </row>
    <row r="5" customFormat="false" ht="35.05" hidden="false" customHeight="false" outlineLevel="0" collapsed="false">
      <c r="A5" s="24" t="s">
        <v>162</v>
      </c>
      <c r="B5" s="18" t="s">
        <v>160</v>
      </c>
      <c r="C5" s="18" t="s">
        <v>56</v>
      </c>
      <c r="D5" s="18" t="s">
        <v>158</v>
      </c>
      <c r="E5" s="18" t="s">
        <v>428</v>
      </c>
      <c r="F5" s="18" t="s">
        <v>473</v>
      </c>
      <c r="G5" s="18" t="s">
        <v>474</v>
      </c>
      <c r="H5" s="18" t="s">
        <v>475</v>
      </c>
      <c r="I5" s="18" t="s">
        <v>476</v>
      </c>
      <c r="J5" s="19" t="str">
        <f aca="false">INDEX(FR!$F$4:$F$500,MATCH(D5,FR!$A$4:$A$500,0))</f>
        <v>Must</v>
      </c>
      <c r="K5" s="19" t="str">
        <f aca="false">INDEX(FR!$G$4:$G$500,MATCH(D5,FR!$A$4:$A$500,0))</f>
        <v>S1</v>
      </c>
    </row>
    <row r="6" customFormat="false" ht="35.05" hidden="false" customHeight="false" outlineLevel="0" collapsed="false">
      <c r="A6" s="24" t="s">
        <v>167</v>
      </c>
      <c r="B6" s="18" t="s">
        <v>477</v>
      </c>
      <c r="C6" s="18" t="s">
        <v>61</v>
      </c>
      <c r="D6" s="18" t="s">
        <v>163</v>
      </c>
      <c r="E6" s="18" t="s">
        <v>168</v>
      </c>
      <c r="F6" s="18" t="s">
        <v>478</v>
      </c>
      <c r="G6" s="18" t="s">
        <v>479</v>
      </c>
      <c r="H6" s="18" t="s">
        <v>480</v>
      </c>
      <c r="I6" s="18" t="s">
        <v>481</v>
      </c>
      <c r="J6" s="19" t="str">
        <f aca="false">INDEX(FR!$F$4:$F$500,MATCH(D6,FR!$A$4:$A$500,0))</f>
        <v>Must</v>
      </c>
      <c r="K6" s="19" t="str">
        <f aca="false">INDEX(FR!$G$4:$G$500,MATCH(D6,FR!$A$4:$A$500,0))</f>
        <v>S1</v>
      </c>
    </row>
    <row r="7" customFormat="false" ht="35.05" hidden="false" customHeight="false" outlineLevel="0" collapsed="false">
      <c r="A7" s="24" t="s">
        <v>259</v>
      </c>
      <c r="B7" s="18" t="s">
        <v>482</v>
      </c>
      <c r="C7" s="18" t="s">
        <v>61</v>
      </c>
      <c r="D7" s="18" t="s">
        <v>255</v>
      </c>
      <c r="E7" s="18" t="s">
        <v>483</v>
      </c>
      <c r="F7" s="18" t="s">
        <v>484</v>
      </c>
      <c r="G7" s="18" t="s">
        <v>485</v>
      </c>
      <c r="H7" s="18" t="s">
        <v>486</v>
      </c>
      <c r="I7" s="18" t="s">
        <v>487</v>
      </c>
      <c r="J7" s="19" t="str">
        <f aca="false">INDEX(FR!$F$4:$F$500,MATCH(D7,FR!$A$4:$A$500,0))</f>
        <v>Must</v>
      </c>
      <c r="K7" s="19" t="str">
        <f aca="false">INDEX(FR!$G$4:$G$500,MATCH(D7,FR!$A$4:$A$500,0))</f>
        <v>S3</v>
      </c>
    </row>
    <row r="8" customFormat="false" ht="46.25" hidden="false" customHeight="false" outlineLevel="0" collapsed="false">
      <c r="A8" s="24" t="s">
        <v>322</v>
      </c>
      <c r="B8" s="18" t="s">
        <v>488</v>
      </c>
      <c r="C8" s="18" t="s">
        <v>61</v>
      </c>
      <c r="D8" s="18" t="s">
        <v>318</v>
      </c>
      <c r="E8" s="18" t="s">
        <v>489</v>
      </c>
      <c r="F8" s="18" t="s">
        <v>490</v>
      </c>
      <c r="G8" s="18" t="s">
        <v>491</v>
      </c>
      <c r="H8" s="18" t="s">
        <v>492</v>
      </c>
      <c r="I8" s="18" t="s">
        <v>493</v>
      </c>
      <c r="J8" s="19" t="str">
        <f aca="false">INDEX(FR!$F$4:$F$500,MATCH(D8,FR!$A$4:$A$500,0))</f>
        <v>Must</v>
      </c>
      <c r="K8" s="19" t="str">
        <f aca="false">INDEX(FR!$G$4:$G$500,MATCH(D8,FR!$A$4:$A$500,0))</f>
        <v>S4</v>
      </c>
    </row>
    <row r="9" customFormat="false" ht="35.05" hidden="false" customHeight="false" outlineLevel="0" collapsed="false">
      <c r="A9" s="24" t="s">
        <v>337</v>
      </c>
      <c r="B9" s="18" t="s">
        <v>494</v>
      </c>
      <c r="C9" s="18" t="s">
        <v>61</v>
      </c>
      <c r="D9" s="18" t="s">
        <v>334</v>
      </c>
      <c r="E9" s="18" t="s">
        <v>495</v>
      </c>
      <c r="F9" s="18" t="s">
        <v>496</v>
      </c>
      <c r="G9" s="18" t="s">
        <v>497</v>
      </c>
      <c r="H9" s="18" t="s">
        <v>498</v>
      </c>
      <c r="I9" s="18" t="s">
        <v>499</v>
      </c>
      <c r="J9" s="19" t="str">
        <f aca="false">INDEX(FR!$F$4:$F$500,MATCH(D9,FR!$A$4:$A$500,0))</f>
        <v>Must</v>
      </c>
      <c r="K9" s="19" t="str">
        <f aca="false">INDEX(FR!$G$4:$G$500,MATCH(D9,FR!$A$4:$A$500,0))</f>
        <v>S7</v>
      </c>
    </row>
    <row r="10" customFormat="false" ht="35.05" hidden="false" customHeight="false" outlineLevel="0" collapsed="false">
      <c r="A10" s="24" t="s">
        <v>247</v>
      </c>
      <c r="B10" s="18" t="s">
        <v>500</v>
      </c>
      <c r="C10" s="18" t="s">
        <v>61</v>
      </c>
      <c r="D10" s="18" t="s">
        <v>264</v>
      </c>
      <c r="E10" s="18" t="s">
        <v>501</v>
      </c>
      <c r="F10" s="18" t="s">
        <v>502</v>
      </c>
      <c r="G10" s="18" t="s">
        <v>503</v>
      </c>
      <c r="H10" s="18" t="s">
        <v>504</v>
      </c>
      <c r="I10" s="18" t="s">
        <v>505</v>
      </c>
      <c r="J10" s="19" t="str">
        <f aca="false">INDEX(FR!$F$4:$F$500,MATCH(D10,FR!$A$4:$A$500,0))</f>
        <v>Must</v>
      </c>
      <c r="K10" s="19" t="str">
        <f aca="false">INDEX(FR!$G$4:$G$500,MATCH(D10,FR!$A$4:$A$500,0))</f>
        <v>S3</v>
      </c>
    </row>
    <row r="11" customFormat="false" ht="23.85" hidden="false" customHeight="false" outlineLevel="0" collapsed="false">
      <c r="A11" s="24" t="s">
        <v>277</v>
      </c>
      <c r="B11" s="18" t="s">
        <v>506</v>
      </c>
      <c r="C11" s="18" t="s">
        <v>61</v>
      </c>
      <c r="D11" s="18" t="s">
        <v>274</v>
      </c>
      <c r="E11" s="18" t="s">
        <v>507</v>
      </c>
      <c r="F11" s="18" t="s">
        <v>508</v>
      </c>
      <c r="G11" s="18" t="s">
        <v>509</v>
      </c>
      <c r="H11" s="18" t="s">
        <v>510</v>
      </c>
      <c r="I11" s="18" t="s">
        <v>511</v>
      </c>
      <c r="J11" s="19" t="str">
        <f aca="false">INDEX(FR!$F$4:$F$500,MATCH(D11,FR!$A$4:$A$500,0))</f>
        <v>Should</v>
      </c>
      <c r="K11" s="19" t="str">
        <f aca="false">INDEX(FR!$G$4:$G$500,MATCH(D11,FR!$A$4:$A$500,0))</f>
        <v>Backlog</v>
      </c>
    </row>
    <row r="12" customFormat="false" ht="35.05" hidden="false" customHeight="false" outlineLevel="0" collapsed="false">
      <c r="A12" s="24" t="s">
        <v>364</v>
      </c>
      <c r="B12" s="18" t="s">
        <v>512</v>
      </c>
      <c r="C12" s="18" t="s">
        <v>254</v>
      </c>
      <c r="D12" s="18" t="s">
        <v>361</v>
      </c>
      <c r="E12" s="18" t="s">
        <v>513</v>
      </c>
      <c r="F12" s="18" t="s">
        <v>514</v>
      </c>
      <c r="G12" s="18" t="s">
        <v>515</v>
      </c>
      <c r="H12" s="18" t="s">
        <v>516</v>
      </c>
      <c r="I12" s="18" t="s">
        <v>517</v>
      </c>
      <c r="J12" s="19" t="str">
        <f aca="false">INDEX(FR!$F$4:$F$500,MATCH(D12,FR!$A$4:$A$500,0))</f>
        <v>Must</v>
      </c>
      <c r="K12" s="19" t="str">
        <f aca="false">INDEX(FR!$G$4:$G$500,MATCH(D12,FR!$A$4:$A$500,0))</f>
        <v>S5</v>
      </c>
    </row>
    <row r="13" customFormat="false" ht="35.05" hidden="false" customHeight="false" outlineLevel="0" collapsed="false">
      <c r="A13" s="24" t="s">
        <v>372</v>
      </c>
      <c r="B13" s="18" t="s">
        <v>518</v>
      </c>
      <c r="C13" s="18" t="s">
        <v>254</v>
      </c>
      <c r="D13" s="18" t="s">
        <v>365</v>
      </c>
      <c r="E13" s="18" t="s">
        <v>519</v>
      </c>
      <c r="F13" s="18" t="s">
        <v>520</v>
      </c>
      <c r="G13" s="18" t="s">
        <v>521</v>
      </c>
      <c r="H13" s="18" t="s">
        <v>522</v>
      </c>
      <c r="I13" s="18" t="s">
        <v>523</v>
      </c>
      <c r="J13" s="19" t="str">
        <f aca="false">INDEX(FR!$F$4:$F$500,MATCH(D13,FR!$A$4:$A$500,0))</f>
        <v>Must</v>
      </c>
      <c r="K13" s="19" t="str">
        <f aca="false">INDEX(FR!$G$4:$G$500,MATCH(D13,FR!$A$4:$A$500,0))</f>
        <v>S5</v>
      </c>
    </row>
    <row r="14" customFormat="false" ht="35.05" hidden="false" customHeight="false" outlineLevel="0" collapsed="false">
      <c r="A14" s="24" t="s">
        <v>377</v>
      </c>
      <c r="B14" s="18" t="s">
        <v>524</v>
      </c>
      <c r="C14" s="18" t="s">
        <v>254</v>
      </c>
      <c r="D14" s="18" t="s">
        <v>373</v>
      </c>
      <c r="E14" s="18" t="s">
        <v>378</v>
      </c>
      <c r="F14" s="18" t="s">
        <v>525</v>
      </c>
      <c r="G14" s="18" t="s">
        <v>526</v>
      </c>
      <c r="H14" s="18" t="s">
        <v>527</v>
      </c>
      <c r="I14" s="18" t="s">
        <v>528</v>
      </c>
      <c r="J14" s="19" t="str">
        <f aca="false">INDEX(FR!$F$4:$F$500,MATCH(D14,FR!$A$4:$A$500,0))</f>
        <v>Must</v>
      </c>
      <c r="K14" s="19" t="str">
        <f aca="false">INDEX(FR!$G$4:$G$500,MATCH(D14,FR!$A$4:$A$500,0))</f>
        <v>S6</v>
      </c>
    </row>
    <row r="15" customFormat="false" ht="46.25" hidden="false" customHeight="false" outlineLevel="0" collapsed="false">
      <c r="A15" s="24" t="s">
        <v>385</v>
      </c>
      <c r="B15" s="18" t="s">
        <v>529</v>
      </c>
      <c r="C15" s="18" t="s">
        <v>254</v>
      </c>
      <c r="D15" s="18" t="s">
        <v>382</v>
      </c>
      <c r="E15" s="18" t="s">
        <v>530</v>
      </c>
      <c r="F15" s="18" t="s">
        <v>531</v>
      </c>
      <c r="G15" s="18" t="s">
        <v>532</v>
      </c>
      <c r="H15" s="18" t="s">
        <v>533</v>
      </c>
      <c r="I15" s="18" t="s">
        <v>534</v>
      </c>
      <c r="J15" s="19" t="str">
        <f aca="false">INDEX(FR!$F$4:$F$500,MATCH(D15,FR!$A$4:$A$500,0))</f>
        <v>Must</v>
      </c>
      <c r="K15" s="19" t="str">
        <f aca="false">INDEX(FR!$G$4:$G$500,MATCH(D15,FR!$A$4:$A$500,0))</f>
        <v>S6</v>
      </c>
    </row>
    <row r="16" customFormat="false" ht="35.05" hidden="false" customHeight="false" outlineLevel="0" collapsed="false">
      <c r="A16" s="24" t="s">
        <v>535</v>
      </c>
      <c r="B16" s="18" t="s">
        <v>536</v>
      </c>
      <c r="C16" s="18" t="s">
        <v>254</v>
      </c>
      <c r="D16" s="18" t="s">
        <v>386</v>
      </c>
      <c r="E16" s="18" t="s">
        <v>396</v>
      </c>
      <c r="F16" s="18" t="s">
        <v>537</v>
      </c>
      <c r="G16" s="18" t="s">
        <v>538</v>
      </c>
      <c r="H16" s="18" t="s">
        <v>539</v>
      </c>
      <c r="I16" s="18" t="s">
        <v>540</v>
      </c>
      <c r="J16" s="19" t="str">
        <f aca="false">INDEX(FR!$F$4:$F$500,MATCH(D16,FR!$A$4:$A$500,0))</f>
        <v>Must</v>
      </c>
      <c r="K16" s="19" t="str">
        <f aca="false">INDEX(FR!$G$4:$G$500,MATCH(D16,FR!$A$4:$A$500,0))</f>
        <v>S6</v>
      </c>
    </row>
    <row r="17" customFormat="false" ht="35.05" hidden="false" customHeight="false" outlineLevel="0" collapsed="false">
      <c r="A17" s="24" t="s">
        <v>541</v>
      </c>
      <c r="B17" s="18" t="s">
        <v>542</v>
      </c>
      <c r="C17" s="18" t="s">
        <v>254</v>
      </c>
      <c r="D17" s="18" t="s">
        <v>396</v>
      </c>
      <c r="E17" s="18" t="s">
        <v>543</v>
      </c>
      <c r="F17" s="18" t="s">
        <v>544</v>
      </c>
      <c r="G17" s="18" t="s">
        <v>545</v>
      </c>
      <c r="H17" s="18" t="s">
        <v>546</v>
      </c>
      <c r="I17" s="18" t="s">
        <v>547</v>
      </c>
      <c r="J17" s="19" t="str">
        <f aca="false">INDEX(FR!$F$4:$F$500,MATCH(D17,FR!$A$4:$A$500,0))</f>
        <v>Must</v>
      </c>
      <c r="K17" s="19" t="str">
        <f aca="false">INDEX(FR!$G$4:$G$500,MATCH(D17,FR!$A$4:$A$500,0))</f>
        <v>S6</v>
      </c>
    </row>
    <row r="18" customFormat="false" ht="35.05" hidden="false" customHeight="false" outlineLevel="0" collapsed="false">
      <c r="A18" s="24" t="s">
        <v>548</v>
      </c>
      <c r="B18" s="18" t="s">
        <v>549</v>
      </c>
      <c r="C18" s="18" t="s">
        <v>76</v>
      </c>
      <c r="D18" s="18" t="s">
        <v>415</v>
      </c>
      <c r="E18" s="18" t="s">
        <v>194</v>
      </c>
      <c r="F18" s="18" t="s">
        <v>550</v>
      </c>
      <c r="G18" s="18" t="s">
        <v>551</v>
      </c>
      <c r="H18" s="18" t="s">
        <v>552</v>
      </c>
      <c r="I18" s="18" t="s">
        <v>553</v>
      </c>
      <c r="J18" s="19" t="str">
        <f aca="false">INDEX(FR!$F$4:$F$500,MATCH(D18,FR!$A$4:$A$500,0))</f>
        <v>Must</v>
      </c>
      <c r="K18" s="19" t="str">
        <f aca="false">INDEX(FR!$G$4:$G$500,MATCH(D18,FR!$A$4:$A$500,0))</f>
        <v>S7</v>
      </c>
    </row>
    <row r="19" customFormat="false" ht="35.05" hidden="false" customHeight="false" outlineLevel="0" collapsed="false">
      <c r="A19" s="24" t="s">
        <v>226</v>
      </c>
      <c r="B19" s="18" t="s">
        <v>554</v>
      </c>
      <c r="C19" s="18" t="s">
        <v>72</v>
      </c>
      <c r="D19" s="18" t="s">
        <v>412</v>
      </c>
      <c r="E19" s="18" t="s">
        <v>555</v>
      </c>
      <c r="F19" s="18" t="s">
        <v>556</v>
      </c>
      <c r="G19" s="18" t="s">
        <v>557</v>
      </c>
      <c r="H19" s="18" t="s">
        <v>558</v>
      </c>
      <c r="I19" s="18" t="s">
        <v>559</v>
      </c>
      <c r="J19" s="19" t="str">
        <f aca="false">INDEX(FR!$F$4:$F$500,MATCH(D19,FR!$A$4:$A$500,0))</f>
        <v>Must</v>
      </c>
      <c r="K19" s="19" t="str">
        <f aca="false">INDEX(FR!$G$4:$G$500,MATCH(D19,FR!$A$4:$A$500,0))</f>
        <v>S7</v>
      </c>
    </row>
    <row r="20" customFormat="false" ht="46.25" hidden="false" customHeight="false" outlineLevel="0" collapsed="false">
      <c r="A20" s="24" t="s">
        <v>218</v>
      </c>
      <c r="B20" s="18" t="s">
        <v>560</v>
      </c>
      <c r="C20" s="18" t="s">
        <v>72</v>
      </c>
      <c r="D20" s="18" t="s">
        <v>210</v>
      </c>
      <c r="E20" s="18" t="s">
        <v>561</v>
      </c>
      <c r="F20" s="18" t="s">
        <v>562</v>
      </c>
      <c r="G20" s="18" t="s">
        <v>563</v>
      </c>
      <c r="H20" s="18" t="s">
        <v>564</v>
      </c>
      <c r="I20" s="18" t="s">
        <v>565</v>
      </c>
      <c r="J20" s="19" t="str">
        <f aca="false">INDEX(FR!$F$4:$F$500,MATCH(D20,FR!$A$4:$A$500,0))</f>
        <v>Must</v>
      </c>
      <c r="K20" s="19" t="str">
        <f aca="false">INDEX(FR!$G$4:$G$500,MATCH(D20,FR!$A$4:$A$500,0))</f>
        <v>S2</v>
      </c>
    </row>
    <row r="21" customFormat="false" ht="35.05" hidden="false" customHeight="false" outlineLevel="0" collapsed="false">
      <c r="A21" s="24" t="s">
        <v>299</v>
      </c>
      <c r="B21" s="18" t="s">
        <v>566</v>
      </c>
      <c r="C21" s="18" t="s">
        <v>78</v>
      </c>
      <c r="D21" s="18" t="s">
        <v>292</v>
      </c>
      <c r="E21" s="18" t="s">
        <v>567</v>
      </c>
      <c r="F21" s="18" t="s">
        <v>568</v>
      </c>
      <c r="G21" s="18" t="s">
        <v>569</v>
      </c>
      <c r="H21" s="18" t="s">
        <v>570</v>
      </c>
      <c r="I21" s="18" t="s">
        <v>571</v>
      </c>
      <c r="J21" s="19" t="str">
        <f aca="false">INDEX(FR!$F$4:$F$500,MATCH(D21,FR!$A$4:$A$500,0))</f>
        <v>Must</v>
      </c>
      <c r="K21" s="19" t="str">
        <f aca="false">INDEX(FR!$G$4:$G$500,MATCH(D21,FR!$A$4:$A$500,0))</f>
        <v>S3</v>
      </c>
    </row>
    <row r="22" customFormat="false" ht="35.05" hidden="false" customHeight="false" outlineLevel="0" collapsed="false">
      <c r="A22" s="24" t="s">
        <v>450</v>
      </c>
      <c r="B22" s="18" t="s">
        <v>572</v>
      </c>
      <c r="C22" s="18" t="s">
        <v>87</v>
      </c>
      <c r="D22" s="18" t="s">
        <v>447</v>
      </c>
      <c r="E22" s="18" t="s">
        <v>573</v>
      </c>
      <c r="F22" s="18" t="s">
        <v>574</v>
      </c>
      <c r="G22" s="18" t="s">
        <v>575</v>
      </c>
      <c r="H22" s="18" t="s">
        <v>576</v>
      </c>
      <c r="I22" s="18" t="s">
        <v>577</v>
      </c>
      <c r="J22" s="19" t="str">
        <f aca="false">INDEX(FR!$F$4:$F$500,MATCH(D22,FR!$A$4:$A$500,0))</f>
        <v>Must</v>
      </c>
      <c r="K22" s="19" t="str">
        <f aca="false">INDEX(FR!$G$4:$G$500,MATCH(D22,FR!$A$4:$A$500,0))</f>
        <v>S7</v>
      </c>
    </row>
    <row r="23" customFormat="false" ht="35.05" hidden="false" customHeight="false" outlineLevel="0" collapsed="false">
      <c r="A23" s="24" t="s">
        <v>187</v>
      </c>
      <c r="B23" s="18" t="s">
        <v>578</v>
      </c>
      <c r="C23" s="18" t="s">
        <v>87</v>
      </c>
      <c r="D23" s="18" t="s">
        <v>188</v>
      </c>
      <c r="E23" s="18" t="s">
        <v>579</v>
      </c>
      <c r="F23" s="18" t="s">
        <v>580</v>
      </c>
      <c r="G23" s="18" t="s">
        <v>581</v>
      </c>
      <c r="H23" s="18" t="s">
        <v>582</v>
      </c>
      <c r="I23" s="18" t="s">
        <v>583</v>
      </c>
      <c r="J23" s="19" t="str">
        <f aca="false">INDEX(FR!$F$4:$F$500,MATCH(D23,FR!$A$4:$A$500,0))</f>
        <v>Must</v>
      </c>
      <c r="K23" s="19" t="str">
        <f aca="false">INDEX(FR!$G$4:$G$500,MATCH(D23,FR!$A$4:$A$500,0))</f>
        <v>S2</v>
      </c>
    </row>
    <row r="24" customFormat="false" ht="35.05" hidden="false" customHeight="false" outlineLevel="0" collapsed="false">
      <c r="A24" s="24" t="s">
        <v>584</v>
      </c>
      <c r="B24" s="18" t="s">
        <v>585</v>
      </c>
      <c r="C24" s="18" t="s">
        <v>87</v>
      </c>
      <c r="D24" s="18" t="s">
        <v>408</v>
      </c>
      <c r="E24" s="18" t="s">
        <v>197</v>
      </c>
      <c r="F24" s="18" t="s">
        <v>586</v>
      </c>
      <c r="G24" s="18" t="s">
        <v>587</v>
      </c>
      <c r="H24" s="18" t="s">
        <v>588</v>
      </c>
      <c r="I24" s="18" t="s">
        <v>589</v>
      </c>
      <c r="J24" s="19" t="str">
        <f aca="false">INDEX(FR!$F$4:$F$500,MATCH(D24,FR!$A$4:$A$500,0))</f>
        <v>Must</v>
      </c>
      <c r="K24" s="19" t="str">
        <f aca="false">INDEX(FR!$G$4:$G$500,MATCH(D24,FR!$A$4:$A$500,0))</f>
        <v>S6</v>
      </c>
    </row>
    <row r="25" customFormat="false" ht="35.05" hidden="false" customHeight="false" outlineLevel="0" collapsed="false">
      <c r="A25" s="24" t="s">
        <v>590</v>
      </c>
      <c r="B25" s="18" t="s">
        <v>591</v>
      </c>
      <c r="C25" s="18" t="s">
        <v>81</v>
      </c>
      <c r="D25" s="18" t="s">
        <v>327</v>
      </c>
      <c r="E25" s="18" t="s">
        <v>331</v>
      </c>
      <c r="F25" s="18" t="s">
        <v>592</v>
      </c>
      <c r="G25" s="18" t="s">
        <v>593</v>
      </c>
      <c r="H25" s="18" t="s">
        <v>594</v>
      </c>
      <c r="I25" s="18" t="s">
        <v>595</v>
      </c>
      <c r="J25" s="19" t="str">
        <f aca="false">INDEX(FR!$F$4:$F$500,MATCH(D25,FR!$A$4:$A$500,0))</f>
        <v>Must</v>
      </c>
      <c r="K25" s="19" t="str">
        <f aca="false">INDEX(FR!$G$4:$G$500,MATCH(D25,FR!$A$4:$A$500,0))</f>
        <v>S4</v>
      </c>
    </row>
  </sheetData>
  <autoFilter ref="A3:K2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5500"/>
    <pageSetUpPr fitToPage="false"/>
  </sheetPr>
  <dimension ref="A1:R15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3" min="2" style="0" width="11"/>
    <col collapsed="false" customWidth="true" hidden="false" outlineLevel="0" max="4" min="4" style="0" width="42"/>
    <col collapsed="false" customWidth="true" hidden="false" outlineLevel="0" max="5" min="5" style="0" width="54"/>
    <col collapsed="false" customWidth="true" hidden="false" outlineLevel="0" max="10" min="6" style="0" width="7"/>
    <col collapsed="false" customWidth="true" hidden="false" outlineLevel="0" max="12" min="11" style="0" width="10"/>
    <col collapsed="false" customWidth="true" hidden="false" outlineLevel="0" max="13" min="13" style="0" width="8"/>
    <col collapsed="false" customWidth="true" hidden="false" outlineLevel="0" max="15" min="14" style="0" width="10"/>
    <col collapsed="false" customWidth="true" hidden="false" outlineLevel="0" max="16" min="16" style="0" width="8"/>
    <col collapsed="false" customWidth="true" hidden="false" outlineLevel="0" max="17" min="17" style="0" width="30"/>
    <col collapsed="false" customWidth="true" hidden="false" outlineLevel="0" max="18" min="18" style="0" width="7"/>
  </cols>
  <sheetData>
    <row r="1" customFormat="false" ht="17.35" hidden="false" customHeight="false" outlineLevel="0" collapsed="false">
      <c r="A1" s="1" t="s">
        <v>596</v>
      </c>
    </row>
    <row r="2" customFormat="false" ht="15" hidden="false" customHeight="false" outlineLevel="0" collapsed="false">
      <c r="A2" s="2" t="s">
        <v>597</v>
      </c>
    </row>
    <row r="3" customFormat="false" ht="31.5" hidden="false" customHeight="true" outlineLevel="0" collapsed="false">
      <c r="A3" s="16" t="s">
        <v>101</v>
      </c>
      <c r="B3" s="16" t="s">
        <v>598</v>
      </c>
      <c r="C3" s="16" t="s">
        <v>599</v>
      </c>
      <c r="D3" s="16" t="s">
        <v>600</v>
      </c>
      <c r="E3" s="16" t="s">
        <v>601</v>
      </c>
      <c r="F3" s="16" t="s">
        <v>102</v>
      </c>
      <c r="G3" s="16" t="s">
        <v>103</v>
      </c>
      <c r="H3" s="16" t="s">
        <v>104</v>
      </c>
      <c r="I3" s="16" t="s">
        <v>105</v>
      </c>
      <c r="J3" s="16" t="s">
        <v>106</v>
      </c>
      <c r="K3" s="16" t="s">
        <v>602</v>
      </c>
      <c r="L3" s="16" t="s">
        <v>603</v>
      </c>
      <c r="M3" s="16" t="s">
        <v>604</v>
      </c>
      <c r="N3" s="16" t="s">
        <v>605</v>
      </c>
      <c r="O3" s="16" t="s">
        <v>606</v>
      </c>
      <c r="P3" s="16" t="s">
        <v>607</v>
      </c>
      <c r="Q3" s="16" t="s">
        <v>608</v>
      </c>
      <c r="R3" s="16" t="s">
        <v>609</v>
      </c>
    </row>
    <row r="4" customFormat="false" ht="63.75" hidden="false" customHeight="true" outlineLevel="0" collapsed="false">
      <c r="A4" s="25" t="s">
        <v>118</v>
      </c>
      <c r="B4" s="26" t="n">
        <f aca="false">'Tổng quan'!$C$18+7*0</f>
        <v>46300</v>
      </c>
      <c r="C4" s="26" t="n">
        <f aca="false">B4+4</f>
        <v>46304</v>
      </c>
      <c r="D4" s="18" t="s">
        <v>610</v>
      </c>
      <c r="E4" s="18" t="s">
        <v>611</v>
      </c>
      <c r="F4" s="27" t="n">
        <f aca="false">SUMIFS(FR!$H$4:$H$500,FR!$G$4:$G$500,$A4)</f>
        <v>3.5</v>
      </c>
      <c r="G4" s="27" t="n">
        <f aca="false">SUMIFS(FR!$I$4:$I$500,FR!$G$4:$G$500,$A4)</f>
        <v>6</v>
      </c>
      <c r="H4" s="27" t="n">
        <f aca="false">SUMIFS(FR!$J$4:$J$500,FR!$G$4:$G$500,$A4)</f>
        <v>3.75</v>
      </c>
      <c r="I4" s="27" t="n">
        <f aca="false">SUMIFS(FR!$K$4:$K$500,FR!$G$4:$G$500,$A4)</f>
        <v>3.5</v>
      </c>
      <c r="J4" s="27" t="n">
        <f aca="false">SUMIFS(FR!$L$4:$L$500,FR!$G$4:$G$500,$A4)</f>
        <v>1.5</v>
      </c>
      <c r="K4" s="27" t="n">
        <f aca="false">SUM(G4:I4)</f>
        <v>13.25</v>
      </c>
      <c r="L4" s="27" t="n">
        <f aca="false">'Tổng quan'!$C$25</f>
        <v>13.5</v>
      </c>
      <c r="M4" s="28" t="n">
        <f aca="false">IF(L4=0,0,K4/L4)</f>
        <v>0.981481481481482</v>
      </c>
      <c r="N4" s="27" t="n">
        <f aca="false">F4+J4</f>
        <v>5</v>
      </c>
      <c r="O4" s="27" t="n">
        <f aca="false">'Tổng quan'!$C$26</f>
        <v>4.25</v>
      </c>
      <c r="P4" s="28" t="n">
        <f aca="false">IF(O4=0,0,N4/O4)</f>
        <v>1.17647058823529</v>
      </c>
      <c r="Q4" s="18" t="str">
        <f aca="false">IF(M4&gt;1,"Dev vượt năng lực","")&amp;IF(AND(M4&gt;1,P4&gt;1)," · ","")&amp;IF(P4&gt;1,"Lead quá tải (BA+QA)","")</f>
        <v>Lead quá tải (BA+QA)</v>
      </c>
      <c r="R4" s="19" t="n">
        <f aca="false">COUNTIF(FR!$G$4:$G$500,$A4)</f>
        <v>7</v>
      </c>
    </row>
    <row r="5" customFormat="false" ht="63.75" hidden="false" customHeight="true" outlineLevel="0" collapsed="false">
      <c r="A5" s="25" t="s">
        <v>171</v>
      </c>
      <c r="B5" s="26" t="n">
        <f aca="false">'Tổng quan'!$C$18+7*1</f>
        <v>46307</v>
      </c>
      <c r="C5" s="26" t="n">
        <f aca="false">B5+4</f>
        <v>46311</v>
      </c>
      <c r="D5" s="18" t="s">
        <v>612</v>
      </c>
      <c r="E5" s="18" t="s">
        <v>613</v>
      </c>
      <c r="F5" s="27" t="n">
        <f aca="false">SUMIFS(FR!$H$4:$H$500,FR!$G$4:$G$500,$A5)</f>
        <v>2.25</v>
      </c>
      <c r="G5" s="27" t="n">
        <f aca="false">SUMIFS(FR!$I$4:$I$500,FR!$G$4:$G$500,$A5)</f>
        <v>7.75</v>
      </c>
      <c r="H5" s="27" t="n">
        <f aca="false">SUMIFS(FR!$J$4:$J$500,FR!$G$4:$G$500,$A5)</f>
        <v>4.25</v>
      </c>
      <c r="I5" s="27" t="n">
        <f aca="false">SUMIFS(FR!$K$4:$K$500,FR!$G$4:$G$500,$A5)</f>
        <v>1.5</v>
      </c>
      <c r="J5" s="27" t="n">
        <f aca="false">SUMIFS(FR!$L$4:$L$500,FR!$G$4:$G$500,$A5)</f>
        <v>2</v>
      </c>
      <c r="K5" s="27" t="n">
        <f aca="false">SUM(G5:I5)</f>
        <v>13.5</v>
      </c>
      <c r="L5" s="27" t="n">
        <f aca="false">'Tổng quan'!$C$25</f>
        <v>13.5</v>
      </c>
      <c r="M5" s="28" t="n">
        <f aca="false">IF(L5=0,0,K5/L5)</f>
        <v>1</v>
      </c>
      <c r="N5" s="27" t="n">
        <f aca="false">F5+J5</f>
        <v>4.25</v>
      </c>
      <c r="O5" s="27" t="n">
        <f aca="false">'Tổng quan'!$C$26</f>
        <v>4.25</v>
      </c>
      <c r="P5" s="28" t="n">
        <f aca="false">IF(O5=0,0,N5/O5)</f>
        <v>1</v>
      </c>
      <c r="Q5" s="18" t="str">
        <f aca="false">IF(M5&gt;1,"Dev vượt năng lực","")&amp;IF(AND(M5&gt;1,P5&gt;1)," · ","")&amp;IF(P5&gt;1,"Lead quá tải (BA+QA)","")</f>
        <v/>
      </c>
      <c r="R5" s="19" t="n">
        <f aca="false">COUNTIF(FR!$G$4:$G$500,$A5)</f>
        <v>7</v>
      </c>
    </row>
    <row r="6" customFormat="false" ht="63.75" hidden="false" customHeight="true" outlineLevel="0" collapsed="false">
      <c r="A6" s="25" t="s">
        <v>225</v>
      </c>
      <c r="B6" s="26" t="n">
        <f aca="false">'Tổng quan'!$C$18+7*2</f>
        <v>46314</v>
      </c>
      <c r="C6" s="26" t="n">
        <f aca="false">B6+4</f>
        <v>46318</v>
      </c>
      <c r="D6" s="18" t="s">
        <v>614</v>
      </c>
      <c r="E6" s="18" t="s">
        <v>615</v>
      </c>
      <c r="F6" s="27" t="n">
        <f aca="false">SUMIFS(FR!$H$4:$H$500,FR!$G$4:$G$500,$A6)</f>
        <v>2.85</v>
      </c>
      <c r="G6" s="27" t="n">
        <f aca="false">SUMIFS(FR!$I$4:$I$500,FR!$G$4:$G$500,$A6)</f>
        <v>4.5</v>
      </c>
      <c r="H6" s="27" t="n">
        <f aca="false">SUMIFS(FR!$J$4:$J$500,FR!$G$4:$G$500,$A6)</f>
        <v>8.75</v>
      </c>
      <c r="I6" s="27" t="n">
        <f aca="false">SUMIFS(FR!$K$4:$K$500,FR!$G$4:$G$500,$A6)</f>
        <v>0</v>
      </c>
      <c r="J6" s="27" t="n">
        <f aca="false">SUMIFS(FR!$L$4:$L$500,FR!$G$4:$G$500,$A6)</f>
        <v>2.5</v>
      </c>
      <c r="K6" s="27" t="n">
        <f aca="false">SUM(G6:I6)</f>
        <v>13.25</v>
      </c>
      <c r="L6" s="27" t="n">
        <f aca="false">'Tổng quan'!$C$25</f>
        <v>13.5</v>
      </c>
      <c r="M6" s="28" t="n">
        <f aca="false">IF(L6=0,0,K6/L6)</f>
        <v>0.981481481481482</v>
      </c>
      <c r="N6" s="27" t="n">
        <f aca="false">F6+J6</f>
        <v>5.35</v>
      </c>
      <c r="O6" s="27" t="n">
        <f aca="false">'Tổng quan'!$C$26</f>
        <v>4.25</v>
      </c>
      <c r="P6" s="28" t="n">
        <f aca="false">IF(O6=0,0,N6/O6)</f>
        <v>1.25882352941176</v>
      </c>
      <c r="Q6" s="18" t="str">
        <f aca="false">IF(M6&gt;1,"Dev vượt năng lực","")&amp;IF(AND(M6&gt;1,P6&gt;1)," · ","")&amp;IF(P6&gt;1,"Lead quá tải (BA+QA)","")</f>
        <v>Lead quá tải (BA+QA)</v>
      </c>
      <c r="R6" s="19" t="n">
        <f aca="false">COUNTIF(FR!$G$4:$G$500,$A6)</f>
        <v>8</v>
      </c>
    </row>
    <row r="7" customFormat="false" ht="63.75" hidden="false" customHeight="true" outlineLevel="0" collapsed="false">
      <c r="A7" s="25" t="s">
        <v>130</v>
      </c>
      <c r="B7" s="26" t="n">
        <f aca="false">'Tổng quan'!$C$18+7*3</f>
        <v>46321</v>
      </c>
      <c r="C7" s="26" t="n">
        <f aca="false">B7+4</f>
        <v>46325</v>
      </c>
      <c r="D7" s="18" t="s">
        <v>616</v>
      </c>
      <c r="E7" s="18" t="s">
        <v>617</v>
      </c>
      <c r="F7" s="27" t="n">
        <f aca="false">SUMIFS(FR!$H$4:$H$500,FR!$G$4:$G$500,$A7)</f>
        <v>2.5</v>
      </c>
      <c r="G7" s="27" t="n">
        <f aca="false">SUMIFS(FR!$I$4:$I$500,FR!$G$4:$G$500,$A7)</f>
        <v>9.5</v>
      </c>
      <c r="H7" s="27" t="n">
        <f aca="false">SUMIFS(FR!$J$4:$J$500,FR!$G$4:$G$500,$A7)</f>
        <v>3.5</v>
      </c>
      <c r="I7" s="27" t="n">
        <f aca="false">SUMIFS(FR!$K$4:$K$500,FR!$G$4:$G$500,$A7)</f>
        <v>0</v>
      </c>
      <c r="J7" s="27" t="n">
        <f aca="false">SUMIFS(FR!$L$4:$L$500,FR!$G$4:$G$500,$A7)</f>
        <v>3</v>
      </c>
      <c r="K7" s="27" t="n">
        <f aca="false">SUM(G7:I7)</f>
        <v>13</v>
      </c>
      <c r="L7" s="27" t="n">
        <f aca="false">'Tổng quan'!$C$25</f>
        <v>13.5</v>
      </c>
      <c r="M7" s="28" t="n">
        <f aca="false">IF(L7=0,0,K7/L7)</f>
        <v>0.962962962962963</v>
      </c>
      <c r="N7" s="27" t="n">
        <f aca="false">F7+J7</f>
        <v>5.5</v>
      </c>
      <c r="O7" s="27" t="n">
        <f aca="false">'Tổng quan'!$C$26</f>
        <v>4.25</v>
      </c>
      <c r="P7" s="28" t="n">
        <f aca="false">IF(O7=0,0,N7/O7)</f>
        <v>1.29411764705882</v>
      </c>
      <c r="Q7" s="18" t="str">
        <f aca="false">IF(M7&gt;1,"Dev vượt năng lực","")&amp;IF(AND(M7&gt;1,P7&gt;1)," · ","")&amp;IF(P7&gt;1,"Lead quá tải (BA+QA)","")</f>
        <v>Lead quá tải (BA+QA)</v>
      </c>
      <c r="R7" s="19" t="n">
        <f aca="false">COUNTIF(FR!$G$4:$G$500,$A7)</f>
        <v>8</v>
      </c>
    </row>
    <row r="8" customFormat="false" ht="63.75" hidden="false" customHeight="true" outlineLevel="0" collapsed="false">
      <c r="A8" s="25" t="s">
        <v>298</v>
      </c>
      <c r="B8" s="26" t="n">
        <f aca="false">'Tổng quan'!$C$18+7*4</f>
        <v>46328</v>
      </c>
      <c r="C8" s="26" t="n">
        <f aca="false">B8+4</f>
        <v>46332</v>
      </c>
      <c r="D8" s="18" t="s">
        <v>618</v>
      </c>
      <c r="E8" s="18" t="s">
        <v>619</v>
      </c>
      <c r="F8" s="27" t="n">
        <f aca="false">SUMIFS(FR!$H$4:$H$500,FR!$G$4:$G$500,$A8)</f>
        <v>1.45</v>
      </c>
      <c r="G8" s="27" t="n">
        <f aca="false">SUMIFS(FR!$I$4:$I$500,FR!$G$4:$G$500,$A8)</f>
        <v>4</v>
      </c>
      <c r="H8" s="27" t="n">
        <f aca="false">SUMIFS(FR!$J$4:$J$500,FR!$G$4:$G$500,$A8)</f>
        <v>4.75</v>
      </c>
      <c r="I8" s="27" t="n">
        <f aca="false">SUMIFS(FR!$K$4:$K$500,FR!$G$4:$G$500,$A8)</f>
        <v>4.5</v>
      </c>
      <c r="J8" s="27" t="n">
        <f aca="false">SUMIFS(FR!$L$4:$L$500,FR!$G$4:$G$500,$A8)</f>
        <v>1.6</v>
      </c>
      <c r="K8" s="27" t="n">
        <f aca="false">SUM(G8:I8)</f>
        <v>13.25</v>
      </c>
      <c r="L8" s="27" t="n">
        <f aca="false">'Tổng quan'!$C$25</f>
        <v>13.5</v>
      </c>
      <c r="M8" s="28" t="n">
        <f aca="false">IF(L8=0,0,K8/L8)</f>
        <v>0.981481481481482</v>
      </c>
      <c r="N8" s="27" t="n">
        <f aca="false">F8+J8</f>
        <v>3.05</v>
      </c>
      <c r="O8" s="27" t="n">
        <f aca="false">'Tổng quan'!$C$26</f>
        <v>4.25</v>
      </c>
      <c r="P8" s="28" t="n">
        <f aca="false">IF(O8=0,0,N8/O8)</f>
        <v>0.717647058823529</v>
      </c>
      <c r="Q8" s="18" t="str">
        <f aca="false">IF(M8&gt;1,"Dev vượt năng lực","")&amp;IF(AND(M8&gt;1,P8&gt;1)," · ","")&amp;IF(P8&gt;1,"Lead quá tải (BA+QA)","")</f>
        <v/>
      </c>
      <c r="R8" s="19" t="n">
        <f aca="false">COUNTIF(FR!$G$4:$G$500,$A8)</f>
        <v>7</v>
      </c>
    </row>
    <row r="9" customFormat="false" ht="63.75" hidden="false" customHeight="true" outlineLevel="0" collapsed="false">
      <c r="A9" s="25" t="s">
        <v>376</v>
      </c>
      <c r="B9" s="26" t="n">
        <f aca="false">'Tổng quan'!$C$18+7*5</f>
        <v>46335</v>
      </c>
      <c r="C9" s="26" t="n">
        <f aca="false">B9+4</f>
        <v>46339</v>
      </c>
      <c r="D9" s="18" t="s">
        <v>620</v>
      </c>
      <c r="E9" s="18" t="s">
        <v>621</v>
      </c>
      <c r="F9" s="27" t="n">
        <f aca="false">SUMIFS(FR!$H$4:$H$500,FR!$G$4:$G$500,$A9)</f>
        <v>1.75</v>
      </c>
      <c r="G9" s="27" t="n">
        <f aca="false">SUMIFS(FR!$I$4:$I$500,FR!$G$4:$G$500,$A9)</f>
        <v>3.75</v>
      </c>
      <c r="H9" s="27" t="n">
        <f aca="false">SUMIFS(FR!$J$4:$J$500,FR!$G$4:$G$500,$A9)</f>
        <v>2.75</v>
      </c>
      <c r="I9" s="27" t="n">
        <f aca="false">SUMIFS(FR!$K$4:$K$500,FR!$G$4:$G$500,$A9)</f>
        <v>7.25</v>
      </c>
      <c r="J9" s="27" t="n">
        <f aca="false">SUMIFS(FR!$L$4:$L$500,FR!$G$4:$G$500,$A9)</f>
        <v>1.6</v>
      </c>
      <c r="K9" s="27" t="n">
        <f aca="false">SUM(G9:I9)</f>
        <v>13.75</v>
      </c>
      <c r="L9" s="27" t="n">
        <f aca="false">'Tổng quan'!$C$25</f>
        <v>13.5</v>
      </c>
      <c r="M9" s="28" t="n">
        <f aca="false">IF(L9=0,0,K9/L9)</f>
        <v>1.01851851851852</v>
      </c>
      <c r="N9" s="27" t="n">
        <f aca="false">F9+J9</f>
        <v>3.35</v>
      </c>
      <c r="O9" s="27" t="n">
        <f aca="false">'Tổng quan'!$C$26</f>
        <v>4.25</v>
      </c>
      <c r="P9" s="28" t="n">
        <f aca="false">IF(O9=0,0,N9/O9)</f>
        <v>0.788235294117647</v>
      </c>
      <c r="Q9" s="18" t="str">
        <f aca="false">IF(M9&gt;1,"Dev vượt năng lực","")&amp;IF(AND(M9&gt;1,P9&gt;1)," · ","")&amp;IF(P9&gt;1,"Lead quá tải (BA+QA)","")</f>
        <v>Dev vượt năng lực</v>
      </c>
      <c r="R9" s="19" t="n">
        <f aca="false">COUNTIF(FR!$G$4:$G$500,$A9)</f>
        <v>5</v>
      </c>
    </row>
    <row r="10" customFormat="false" ht="63.75" hidden="false" customHeight="true" outlineLevel="0" collapsed="false">
      <c r="A10" s="25" t="s">
        <v>200</v>
      </c>
      <c r="B10" s="26" t="n">
        <f aca="false">'Tổng quan'!$C$18+7*6</f>
        <v>46342</v>
      </c>
      <c r="C10" s="26" t="n">
        <f aca="false">B10+4</f>
        <v>46346</v>
      </c>
      <c r="D10" s="18" t="s">
        <v>622</v>
      </c>
      <c r="E10" s="18" t="s">
        <v>623</v>
      </c>
      <c r="F10" s="27" t="n">
        <f aca="false">SUMIFS(FR!$H$4:$H$500,FR!$G$4:$G$500,$A10)</f>
        <v>2.5</v>
      </c>
      <c r="G10" s="27" t="n">
        <f aca="false">SUMIFS(FR!$I$4:$I$500,FR!$G$4:$G$500,$A10)</f>
        <v>5.5</v>
      </c>
      <c r="H10" s="27" t="n">
        <f aca="false">SUMIFS(FR!$J$4:$J$500,FR!$G$4:$G$500,$A10)</f>
        <v>6</v>
      </c>
      <c r="I10" s="27" t="n">
        <f aca="false">SUMIFS(FR!$K$4:$K$500,FR!$G$4:$G$500,$A10)</f>
        <v>1.5</v>
      </c>
      <c r="J10" s="27" t="n">
        <f aca="false">SUMIFS(FR!$L$4:$L$500,FR!$G$4:$G$500,$A10)</f>
        <v>1.8</v>
      </c>
      <c r="K10" s="27" t="n">
        <f aca="false">SUM(G10:I10)</f>
        <v>13</v>
      </c>
      <c r="L10" s="27" t="n">
        <f aca="false">'Tổng quan'!$C$25</f>
        <v>13.5</v>
      </c>
      <c r="M10" s="28" t="n">
        <f aca="false">IF(L10=0,0,K10/L10)</f>
        <v>0.962962962962963</v>
      </c>
      <c r="N10" s="27" t="n">
        <f aca="false">F10+J10</f>
        <v>4.3</v>
      </c>
      <c r="O10" s="27" t="n">
        <f aca="false">'Tổng quan'!$C$26</f>
        <v>4.25</v>
      </c>
      <c r="P10" s="28" t="n">
        <f aca="false">IF(O10=0,0,N10/O10)</f>
        <v>1.01176470588235</v>
      </c>
      <c r="Q10" s="18" t="str">
        <f aca="false">IF(M10&gt;1,"Dev vượt năng lực","")&amp;IF(AND(M10&gt;1,P10&gt;1)," · ","")&amp;IF(P10&gt;1,"Lead quá tải (BA+QA)","")</f>
        <v>Lead quá tải (BA+QA)</v>
      </c>
      <c r="R10" s="19" t="n">
        <f aca="false">COUNTIF(FR!$G$4:$G$500,$A10)</f>
        <v>6</v>
      </c>
    </row>
    <row r="11" customFormat="false" ht="63.75" hidden="false" customHeight="true" outlineLevel="0" collapsed="false">
      <c r="A11" s="25" t="s">
        <v>143</v>
      </c>
      <c r="B11" s="26" t="n">
        <f aca="false">'Tổng quan'!$C$18+7*7</f>
        <v>46349</v>
      </c>
      <c r="C11" s="26" t="n">
        <f aca="false">B11+4</f>
        <v>46353</v>
      </c>
      <c r="D11" s="18" t="s">
        <v>624</v>
      </c>
      <c r="E11" s="18" t="s">
        <v>625</v>
      </c>
      <c r="F11" s="27" t="n">
        <f aca="false">SUMIFS(FR!$H$4:$H$500,FR!$G$4:$G$500,$A11)</f>
        <v>3.75</v>
      </c>
      <c r="G11" s="27" t="n">
        <f aca="false">SUMIFS(FR!$I$4:$I$500,FR!$G$4:$G$500,$A11)</f>
        <v>4.5</v>
      </c>
      <c r="H11" s="27" t="n">
        <f aca="false">SUMIFS(FR!$J$4:$J$500,FR!$G$4:$G$500,$A11)</f>
        <v>2.75</v>
      </c>
      <c r="I11" s="27" t="n">
        <f aca="false">SUMIFS(FR!$K$4:$K$500,FR!$G$4:$G$500,$A11)</f>
        <v>0.75</v>
      </c>
      <c r="J11" s="27" t="n">
        <f aca="false">SUMIFS(FR!$L$4:$L$500,FR!$G$4:$G$500,$A11)</f>
        <v>3.4</v>
      </c>
      <c r="K11" s="27" t="n">
        <f aca="false">SUM(G11:I11)</f>
        <v>8</v>
      </c>
      <c r="L11" s="27" t="n">
        <f aca="false">'Tổng quan'!$C$25</f>
        <v>13.5</v>
      </c>
      <c r="M11" s="28" t="n">
        <f aca="false">IF(L11=0,0,K11/L11)</f>
        <v>0.592592592592593</v>
      </c>
      <c r="N11" s="27" t="n">
        <f aca="false">F11+J11</f>
        <v>7.15</v>
      </c>
      <c r="O11" s="27" t="n">
        <f aca="false">'Tổng quan'!$C$26</f>
        <v>4.25</v>
      </c>
      <c r="P11" s="28" t="n">
        <f aca="false">IF(O11=0,0,N11/O11)</f>
        <v>1.68235294117647</v>
      </c>
      <c r="Q11" s="18" t="str">
        <f aca="false">IF(M11&gt;1,"Dev vượt năng lực","")&amp;IF(AND(M11&gt;1,P11&gt;1)," · ","")&amp;IF(P11&gt;1,"Lead quá tải (BA+QA)","")</f>
        <v>Lead quá tải (BA+QA)</v>
      </c>
      <c r="R11" s="19" t="n">
        <f aca="false">COUNTIF(FR!$G$4:$G$500,$A11)</f>
        <v>5</v>
      </c>
    </row>
    <row r="12" customFormat="false" ht="23.85" hidden="false" customHeight="false" outlineLevel="0" collapsed="false">
      <c r="A12" s="29" t="s">
        <v>626</v>
      </c>
      <c r="B12" s="29"/>
      <c r="C12" s="29"/>
      <c r="D12" s="30"/>
      <c r="E12" s="30"/>
      <c r="F12" s="31" t="n">
        <f aca="false">SUM(F4:F11)</f>
        <v>20.55</v>
      </c>
      <c r="G12" s="31" t="n">
        <f aca="false">SUM(G4:G11)</f>
        <v>45.5</v>
      </c>
      <c r="H12" s="31" t="n">
        <f aca="false">SUM(H4:H11)</f>
        <v>36.5</v>
      </c>
      <c r="I12" s="31" t="n">
        <f aca="false">SUM(I4:I11)</f>
        <v>19</v>
      </c>
      <c r="J12" s="31" t="n">
        <f aca="false">SUM(J4:J11)</f>
        <v>17.4</v>
      </c>
      <c r="K12" s="31" t="n">
        <f aca="false">SUM(K4:K11)</f>
        <v>101</v>
      </c>
      <c r="L12" s="31" t="n">
        <f aca="false">SUM(L4:L11)</f>
        <v>108</v>
      </c>
      <c r="M12" s="32" t="n">
        <f aca="false">IF(L12=0,0,K12/L12)</f>
        <v>0.935185185185185</v>
      </c>
      <c r="N12" s="31" t="n">
        <f aca="false">SUM(N4:N11)</f>
        <v>37.95</v>
      </c>
      <c r="O12" s="31" t="n">
        <f aca="false">SUM(O4:O11)</f>
        <v>34</v>
      </c>
      <c r="P12" s="32" t="n">
        <f aca="false">IF(O12=0,0,N12/O12)</f>
        <v>1.11617647058824</v>
      </c>
      <c r="Q12" s="30"/>
      <c r="R12" s="29" t="n">
        <f aca="false">SUM(R4:R11)</f>
        <v>53</v>
      </c>
    </row>
    <row r="13" customFormat="false" ht="23.85" hidden="false" customHeight="false" outlineLevel="0" collapsed="false">
      <c r="A13" s="29" t="s">
        <v>627</v>
      </c>
      <c r="B13" s="29"/>
      <c r="C13" s="29"/>
      <c r="D13" s="30"/>
      <c r="E13" s="30"/>
      <c r="F13" s="31" t="n">
        <f aca="false">SUMIFS(FR!$H$4:$H$500,FR!$G$4:$G$500,"Backlog")</f>
        <v>11.45</v>
      </c>
      <c r="G13" s="31" t="n">
        <f aca="false">SUMIFS(FR!$I$4:$I$500,FR!$G$4:$G$500,"Backlog")</f>
        <v>28.85</v>
      </c>
      <c r="H13" s="31" t="n">
        <f aca="false">SUMIFS(FR!$J$4:$J$500,FR!$G$4:$G$500,"Backlog")</f>
        <v>30.25</v>
      </c>
      <c r="I13" s="31" t="n">
        <f aca="false">SUMIFS(FR!$K$4:$K$500,FR!$G$4:$G$500,"Backlog")</f>
        <v>4.75</v>
      </c>
      <c r="J13" s="31" t="n">
        <f aca="false">SUMIFS(FR!$L$4:$L$500,FR!$G$4:$G$500,"Backlog")</f>
        <v>10.6</v>
      </c>
      <c r="K13" s="31" t="n">
        <f aca="false">SUM(G13:I13)</f>
        <v>63.85</v>
      </c>
      <c r="L13" s="31"/>
      <c r="M13" s="32"/>
      <c r="N13" s="31" t="n">
        <f aca="false">F13+J13</f>
        <v>22.05</v>
      </c>
      <c r="O13" s="31"/>
      <c r="P13" s="32"/>
      <c r="Q13" s="30"/>
      <c r="R13" s="29" t="n">
        <f aca="false">COUNTIF(FR!$G$4:$G$500,"Backlog")</f>
        <v>42</v>
      </c>
    </row>
    <row r="15" customFormat="false" ht="15" hidden="false" customHeight="false" outlineLevel="0" collapsed="false">
      <c r="A15" s="2" t="s">
        <v>628</v>
      </c>
    </row>
  </sheetData>
  <conditionalFormatting sqref="M4:M12">
    <cfRule type="cellIs" priority="2" operator="greaterThan" aboveAverage="0" equalAverage="0" bottom="0" percent="0" rank="0" text="" dxfId="13">
      <formula>1</formula>
    </cfRule>
  </conditionalFormatting>
  <conditionalFormatting sqref="P4:P12">
    <cfRule type="cellIs" priority="3" operator="greaterThan" aboveAverage="0" equalAverage="0" bottom="0" percent="0" rank="0" text="" dxfId="13">
      <formula>1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2937"/>
    <pageSetUpPr fitToPage="false"/>
  </sheetPr>
  <dimension ref="A1:N21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5" min="2" style="0" width="8"/>
    <col collapsed="false" customWidth="true" hidden="false" outlineLevel="0" max="6" min="6" style="0" width="12"/>
    <col collapsed="false" customWidth="true" hidden="false" outlineLevel="0" max="7" min="7" style="0" width="10"/>
    <col collapsed="false" customWidth="true" hidden="false" outlineLevel="0" max="12" min="8" style="0" width="8"/>
    <col collapsed="false" customWidth="true" hidden="false" outlineLevel="0" max="14" min="13" style="0" width="14"/>
  </cols>
  <sheetData>
    <row r="1" customFormat="false" ht="17.35" hidden="false" customHeight="false" outlineLevel="0" collapsed="false">
      <c r="A1" s="1" t="s">
        <v>629</v>
      </c>
    </row>
    <row r="2" customFormat="false" ht="15" hidden="false" customHeight="false" outlineLevel="0" collapsed="false">
      <c r="A2" s="2" t="s">
        <v>630</v>
      </c>
    </row>
    <row r="3" customFormat="false" ht="31.5" hidden="false" customHeight="true" outlineLevel="0" collapsed="false">
      <c r="A3" s="16" t="s">
        <v>97</v>
      </c>
      <c r="B3" s="16" t="s">
        <v>609</v>
      </c>
      <c r="C3" s="16" t="s">
        <v>117</v>
      </c>
      <c r="D3" s="16" t="s">
        <v>134</v>
      </c>
      <c r="E3" s="16" t="s">
        <v>157</v>
      </c>
      <c r="F3" s="16" t="s">
        <v>631</v>
      </c>
      <c r="G3" s="16" t="s">
        <v>632</v>
      </c>
      <c r="H3" s="16" t="s">
        <v>102</v>
      </c>
      <c r="I3" s="16" t="s">
        <v>103</v>
      </c>
      <c r="J3" s="16" t="s">
        <v>104</v>
      </c>
      <c r="K3" s="16" t="s">
        <v>105</v>
      </c>
      <c r="L3" s="16" t="s">
        <v>106</v>
      </c>
      <c r="M3" s="16" t="s">
        <v>633</v>
      </c>
      <c r="N3" s="16" t="s">
        <v>634</v>
      </c>
    </row>
    <row r="4" customFormat="false" ht="15" hidden="false" customHeight="false" outlineLevel="0" collapsed="false">
      <c r="A4" s="17" t="s">
        <v>113</v>
      </c>
      <c r="B4" s="19" t="n">
        <f aca="false">COUNTIF(FR!$B$4:$B$500,$A4)</f>
        <v>11</v>
      </c>
      <c r="C4" s="19" t="n">
        <f aca="false">COUNTIFS(FR!$B$4:$B$500,$A4,FR!$F$4:$F$500,"Must")</f>
        <v>8</v>
      </c>
      <c r="D4" s="19" t="n">
        <f aca="false">COUNTIFS(FR!$B$4:$B$500,$A4,FR!$F$4:$F$500,"Should")</f>
        <v>2</v>
      </c>
      <c r="E4" s="19" t="n">
        <f aca="false">COUNTIFS(FR!$B$4:$B$500,$A4,FR!$F$4:$F$500,"Could")</f>
        <v>1</v>
      </c>
      <c r="F4" s="19" t="n">
        <f aca="false">COUNTIFS(FR!$B$4:$B$500,$A4,FR!$G$4:$G$500,"&lt;&gt;Backlog")</f>
        <v>8</v>
      </c>
      <c r="G4" s="19" t="n">
        <f aca="false">COUNTIFS(FR!$B$4:$B$500,$A4,FR!$G$4:$G$500,"Backlog")</f>
        <v>3</v>
      </c>
      <c r="H4" s="27" t="n">
        <f aca="false">SUMIFS(FR!$H$4:$H$500,FR!$B$4:$B$500,$A4,FR!$G$4:$G$500,"&lt;&gt;Backlog")</f>
        <v>5.25</v>
      </c>
      <c r="I4" s="27" t="n">
        <f aca="false">SUMIFS(FR!$I$4:$I$500,FR!$B$4:$B$500,$A4,FR!$G$4:$G$500,"&lt;&gt;Backlog")</f>
        <v>7</v>
      </c>
      <c r="J4" s="27" t="n">
        <f aca="false">SUMIFS(FR!$J$4:$J$500,FR!$B$4:$B$500,$A4,FR!$G$4:$G$500,"&lt;&gt;Backlog")</f>
        <v>5.25</v>
      </c>
      <c r="K4" s="27" t="n">
        <f aca="false">SUMIFS(FR!$K$4:$K$500,FR!$B$4:$B$500,$A4,FR!$G$4:$G$500,"&lt;&gt;Backlog")</f>
        <v>1.25</v>
      </c>
      <c r="L4" s="27" t="n">
        <f aca="false">SUMIFS(FR!$L$4:$L$500,FR!$B$4:$B$500,$A4,FR!$G$4:$G$500,"&lt;&gt;Backlog")</f>
        <v>4</v>
      </c>
      <c r="M4" s="27" t="n">
        <f aca="false">SUM(H4:L4)</f>
        <v>22.75</v>
      </c>
      <c r="N4" s="27" t="n">
        <f aca="false">SUMIFS(FR!$M$4:$M$500,FR!$B$4:$B$500,$A4,FR!$G$4:$G$500,"Backlog")</f>
        <v>5.55</v>
      </c>
    </row>
    <row r="5" customFormat="false" ht="15" hidden="false" customHeight="false" outlineLevel="0" collapsed="false">
      <c r="A5" s="17" t="s">
        <v>159</v>
      </c>
      <c r="B5" s="19" t="n">
        <f aca="false">COUNTIF(FR!$B$4:$B$500,$A5)</f>
        <v>7</v>
      </c>
      <c r="C5" s="19" t="n">
        <f aca="false">COUNTIFS(FR!$B$4:$B$500,$A5,FR!$F$4:$F$500,"Must")</f>
        <v>3</v>
      </c>
      <c r="D5" s="19" t="n">
        <f aca="false">COUNTIFS(FR!$B$4:$B$500,$A5,FR!$F$4:$F$500,"Should")</f>
        <v>2</v>
      </c>
      <c r="E5" s="19" t="n">
        <f aca="false">COUNTIFS(FR!$B$4:$B$500,$A5,FR!$F$4:$F$500,"Could")</f>
        <v>2</v>
      </c>
      <c r="F5" s="19" t="n">
        <f aca="false">COUNTIFS(FR!$B$4:$B$500,$A5,FR!$G$4:$G$500,"&lt;&gt;Backlog")</f>
        <v>3</v>
      </c>
      <c r="G5" s="19" t="n">
        <f aca="false">COUNTIFS(FR!$B$4:$B$500,$A5,FR!$G$4:$G$500,"Backlog")</f>
        <v>4</v>
      </c>
      <c r="H5" s="27" t="n">
        <f aca="false">SUMIFS(FR!$H$4:$H$500,FR!$B$4:$B$500,$A5,FR!$G$4:$G$500,"&lt;&gt;Backlog")</f>
        <v>0.75</v>
      </c>
      <c r="I5" s="27" t="n">
        <f aca="false">SUMIFS(FR!$I$4:$I$500,FR!$B$4:$B$500,$A5,FR!$G$4:$G$500,"&lt;&gt;Backlog")</f>
        <v>2</v>
      </c>
      <c r="J5" s="27" t="n">
        <f aca="false">SUMIFS(FR!$J$4:$J$500,FR!$B$4:$B$500,$A5,FR!$G$4:$G$500,"&lt;&gt;Backlog")</f>
        <v>1.25</v>
      </c>
      <c r="K5" s="27" t="n">
        <f aca="false">SUMIFS(FR!$K$4:$K$500,FR!$B$4:$B$500,$A5,FR!$G$4:$G$500,"&lt;&gt;Backlog")</f>
        <v>0</v>
      </c>
      <c r="L5" s="27" t="n">
        <f aca="false">SUMIFS(FR!$L$4:$L$500,FR!$B$4:$B$500,$A5,FR!$G$4:$G$500,"&lt;&gt;Backlog")</f>
        <v>0.6</v>
      </c>
      <c r="M5" s="27" t="n">
        <f aca="false">SUM(H5:L5)</f>
        <v>4.6</v>
      </c>
      <c r="N5" s="27" t="n">
        <f aca="false">SUMIFS(FR!$M$4:$M$500,FR!$B$4:$B$500,$A5,FR!$G$4:$G$500,"Backlog")</f>
        <v>7.2</v>
      </c>
    </row>
    <row r="6" customFormat="false" ht="15" hidden="false" customHeight="false" outlineLevel="0" collapsed="false">
      <c r="A6" s="17" t="s">
        <v>184</v>
      </c>
      <c r="B6" s="19" t="n">
        <f aca="false">COUNTIF(FR!$B$4:$B$500,$A6)</f>
        <v>8</v>
      </c>
      <c r="C6" s="19" t="n">
        <f aca="false">COUNTIFS(FR!$B$4:$B$500,$A6,FR!$F$4:$F$500,"Must")</f>
        <v>3</v>
      </c>
      <c r="D6" s="19" t="n">
        <f aca="false">COUNTIFS(FR!$B$4:$B$500,$A6,FR!$F$4:$F$500,"Should")</f>
        <v>4</v>
      </c>
      <c r="E6" s="19" t="n">
        <f aca="false">COUNTIFS(FR!$B$4:$B$500,$A6,FR!$F$4:$F$500,"Could")</f>
        <v>1</v>
      </c>
      <c r="F6" s="19" t="n">
        <f aca="false">COUNTIFS(FR!$B$4:$B$500,$A6,FR!$G$4:$G$500,"&lt;&gt;Backlog")</f>
        <v>4</v>
      </c>
      <c r="G6" s="19" t="n">
        <f aca="false">COUNTIFS(FR!$B$4:$B$500,$A6,FR!$G$4:$G$500,"Backlog")</f>
        <v>4</v>
      </c>
      <c r="H6" s="27" t="n">
        <f aca="false">SUMIFS(FR!$H$4:$H$500,FR!$B$4:$B$500,$A6,FR!$G$4:$G$500,"&lt;&gt;Backlog")</f>
        <v>2</v>
      </c>
      <c r="I6" s="27" t="n">
        <f aca="false">SUMIFS(FR!$I$4:$I$500,FR!$B$4:$B$500,$A6,FR!$G$4:$G$500,"&lt;&gt;Backlog")</f>
        <v>3.75</v>
      </c>
      <c r="J6" s="27" t="n">
        <f aca="false">SUMIFS(FR!$J$4:$J$500,FR!$B$4:$B$500,$A6,FR!$G$4:$G$500,"&lt;&gt;Backlog")</f>
        <v>3.25</v>
      </c>
      <c r="K6" s="27" t="n">
        <f aca="false">SUMIFS(FR!$K$4:$K$500,FR!$B$4:$B$500,$A6,FR!$G$4:$G$500,"&lt;&gt;Backlog")</f>
        <v>0</v>
      </c>
      <c r="L6" s="27" t="n">
        <f aca="false">SUMIFS(FR!$L$4:$L$500,FR!$B$4:$B$500,$A6,FR!$G$4:$G$500,"&lt;&gt;Backlog")</f>
        <v>1.2</v>
      </c>
      <c r="M6" s="27" t="n">
        <f aca="false">SUM(H6:L6)</f>
        <v>10.2</v>
      </c>
      <c r="N6" s="27" t="n">
        <f aca="false">SUMIFS(FR!$M$4:$M$500,FR!$B$4:$B$500,$A6,FR!$G$4:$G$500,"Backlog")</f>
        <v>8.75</v>
      </c>
    </row>
    <row r="7" customFormat="false" ht="15" hidden="false" customHeight="false" outlineLevel="0" collapsed="false">
      <c r="A7" s="17" t="s">
        <v>211</v>
      </c>
      <c r="B7" s="19" t="n">
        <f aca="false">COUNTIF(FR!$B$4:$B$500,$A7)</f>
        <v>7</v>
      </c>
      <c r="C7" s="19" t="n">
        <f aca="false">COUNTIFS(FR!$B$4:$B$500,$A7,FR!$F$4:$F$500,"Must")</f>
        <v>4</v>
      </c>
      <c r="D7" s="19" t="n">
        <f aca="false">COUNTIFS(FR!$B$4:$B$500,$A7,FR!$F$4:$F$500,"Should")</f>
        <v>1</v>
      </c>
      <c r="E7" s="19" t="n">
        <f aca="false">COUNTIFS(FR!$B$4:$B$500,$A7,FR!$F$4:$F$500,"Could")</f>
        <v>2</v>
      </c>
      <c r="F7" s="19" t="n">
        <f aca="false">COUNTIFS(FR!$B$4:$B$500,$A7,FR!$G$4:$G$500,"&lt;&gt;Backlog")</f>
        <v>4</v>
      </c>
      <c r="G7" s="19" t="n">
        <f aca="false">COUNTIFS(FR!$B$4:$B$500,$A7,FR!$G$4:$G$500,"Backlog")</f>
        <v>3</v>
      </c>
      <c r="H7" s="27" t="n">
        <f aca="false">SUMIFS(FR!$H$4:$H$500,FR!$B$4:$B$500,$A7,FR!$G$4:$G$500,"&lt;&gt;Backlog")</f>
        <v>1.75</v>
      </c>
      <c r="I7" s="27" t="n">
        <f aca="false">SUMIFS(FR!$I$4:$I$500,FR!$B$4:$B$500,$A7,FR!$G$4:$G$500,"&lt;&gt;Backlog")</f>
        <v>3.25</v>
      </c>
      <c r="J7" s="27" t="n">
        <f aca="false">SUMIFS(FR!$J$4:$J$500,FR!$B$4:$B$500,$A7,FR!$G$4:$G$500,"&lt;&gt;Backlog")</f>
        <v>3.5</v>
      </c>
      <c r="K7" s="27" t="n">
        <f aca="false">SUMIFS(FR!$K$4:$K$500,FR!$B$4:$B$500,$A7,FR!$G$4:$G$500,"&lt;&gt;Backlog")</f>
        <v>0</v>
      </c>
      <c r="L7" s="27" t="n">
        <f aca="false">SUMIFS(FR!$L$4:$L$500,FR!$B$4:$B$500,$A7,FR!$G$4:$G$500,"&lt;&gt;Backlog")</f>
        <v>1.2</v>
      </c>
      <c r="M7" s="27" t="n">
        <f aca="false">SUM(H7:L7)</f>
        <v>9.7</v>
      </c>
      <c r="N7" s="27" t="n">
        <f aca="false">SUMIFS(FR!$M$4:$M$500,FR!$B$4:$B$500,$A7,FR!$G$4:$G$500,"Backlog")</f>
        <v>6.3</v>
      </c>
    </row>
    <row r="8" customFormat="false" ht="15" hidden="false" customHeight="false" outlineLevel="0" collapsed="false">
      <c r="A8" s="17" t="s">
        <v>237</v>
      </c>
      <c r="B8" s="19" t="n">
        <f aca="false">COUNTIF(FR!$B$4:$B$500,$A8)</f>
        <v>5</v>
      </c>
      <c r="C8" s="19" t="n">
        <f aca="false">COUNTIFS(FR!$B$4:$B$500,$A8,FR!$F$4:$F$500,"Must")</f>
        <v>3</v>
      </c>
      <c r="D8" s="19" t="n">
        <f aca="false">COUNTIFS(FR!$B$4:$B$500,$A8,FR!$F$4:$F$500,"Should")</f>
        <v>2</v>
      </c>
      <c r="E8" s="19" t="n">
        <f aca="false">COUNTIFS(FR!$B$4:$B$500,$A8,FR!$F$4:$F$500,"Could")</f>
        <v>0</v>
      </c>
      <c r="F8" s="19" t="n">
        <f aca="false">COUNTIFS(FR!$B$4:$B$500,$A8,FR!$G$4:$G$500,"&lt;&gt;Backlog")</f>
        <v>3</v>
      </c>
      <c r="G8" s="19" t="n">
        <f aca="false">COUNTIFS(FR!$B$4:$B$500,$A8,FR!$G$4:$G$500,"Backlog")</f>
        <v>2</v>
      </c>
      <c r="H8" s="27" t="n">
        <f aca="false">SUMIFS(FR!$H$4:$H$500,FR!$B$4:$B$500,$A8,FR!$G$4:$G$500,"&lt;&gt;Backlog")</f>
        <v>0.75</v>
      </c>
      <c r="I8" s="27" t="n">
        <f aca="false">SUMIFS(FR!$I$4:$I$500,FR!$B$4:$B$500,$A8,FR!$G$4:$G$500,"&lt;&gt;Backlog")</f>
        <v>5</v>
      </c>
      <c r="J8" s="27" t="n">
        <f aca="false">SUMIFS(FR!$J$4:$J$500,FR!$B$4:$B$500,$A8,FR!$G$4:$G$500,"&lt;&gt;Backlog")</f>
        <v>1</v>
      </c>
      <c r="K8" s="27" t="n">
        <f aca="false">SUMIFS(FR!$K$4:$K$500,FR!$B$4:$B$500,$A8,FR!$G$4:$G$500,"&lt;&gt;Backlog")</f>
        <v>0</v>
      </c>
      <c r="L8" s="27" t="n">
        <f aca="false">SUMIFS(FR!$L$4:$L$500,FR!$B$4:$B$500,$A8,FR!$G$4:$G$500,"&lt;&gt;Backlog")</f>
        <v>1</v>
      </c>
      <c r="M8" s="27" t="n">
        <f aca="false">SUM(H8:L8)</f>
        <v>7.75</v>
      </c>
      <c r="N8" s="27" t="n">
        <f aca="false">SUMIFS(FR!$M$4:$M$500,FR!$B$4:$B$500,$A8,FR!$G$4:$G$500,"Backlog")</f>
        <v>3.15</v>
      </c>
    </row>
    <row r="9" customFormat="false" ht="15" hidden="false" customHeight="false" outlineLevel="0" collapsed="false">
      <c r="A9" s="17" t="s">
        <v>256</v>
      </c>
      <c r="B9" s="19" t="n">
        <f aca="false">COUNTIF(FR!$B$4:$B$500,$A9)</f>
        <v>9</v>
      </c>
      <c r="C9" s="19" t="n">
        <f aca="false">COUNTIFS(FR!$B$4:$B$500,$A9,FR!$F$4:$F$500,"Must")</f>
        <v>5</v>
      </c>
      <c r="D9" s="19" t="n">
        <f aca="false">COUNTIFS(FR!$B$4:$B$500,$A9,FR!$F$4:$F$500,"Should")</f>
        <v>2</v>
      </c>
      <c r="E9" s="19" t="n">
        <f aca="false">COUNTIFS(FR!$B$4:$B$500,$A9,FR!$F$4:$F$500,"Could")</f>
        <v>2</v>
      </c>
      <c r="F9" s="19" t="n">
        <f aca="false">COUNTIFS(FR!$B$4:$B$500,$A9,FR!$G$4:$G$500,"&lt;&gt;Backlog")</f>
        <v>5</v>
      </c>
      <c r="G9" s="19" t="n">
        <f aca="false">COUNTIFS(FR!$B$4:$B$500,$A9,FR!$G$4:$G$500,"Backlog")</f>
        <v>4</v>
      </c>
      <c r="H9" s="27" t="n">
        <f aca="false">SUMIFS(FR!$H$4:$H$500,FR!$B$4:$B$500,$A9,FR!$G$4:$G$500,"&lt;&gt;Backlog")</f>
        <v>1.75</v>
      </c>
      <c r="I9" s="27" t="n">
        <f aca="false">SUMIFS(FR!$I$4:$I$500,FR!$B$4:$B$500,$A9,FR!$G$4:$G$500,"&lt;&gt;Backlog")</f>
        <v>2.75</v>
      </c>
      <c r="J9" s="27" t="n">
        <f aca="false">SUMIFS(FR!$J$4:$J$500,FR!$B$4:$B$500,$A9,FR!$G$4:$G$500,"&lt;&gt;Backlog")</f>
        <v>6.75</v>
      </c>
      <c r="K9" s="27" t="n">
        <f aca="false">SUMIFS(FR!$K$4:$K$500,FR!$B$4:$B$500,$A9,FR!$G$4:$G$500,"&lt;&gt;Backlog")</f>
        <v>0</v>
      </c>
      <c r="L9" s="27" t="n">
        <f aca="false">SUMIFS(FR!$L$4:$L$500,FR!$B$4:$B$500,$A9,FR!$G$4:$G$500,"&lt;&gt;Backlog")</f>
        <v>1.8</v>
      </c>
      <c r="M9" s="27" t="n">
        <f aca="false">SUM(H9:L9)</f>
        <v>13.05</v>
      </c>
      <c r="N9" s="27" t="n">
        <f aca="false">SUMIFS(FR!$M$4:$M$500,FR!$B$4:$B$500,$A9,FR!$G$4:$G$500,"Backlog")</f>
        <v>6.8</v>
      </c>
    </row>
    <row r="10" customFormat="false" ht="15" hidden="false" customHeight="false" outlineLevel="0" collapsed="false">
      <c r="A10" s="17" t="s">
        <v>288</v>
      </c>
      <c r="B10" s="19" t="n">
        <f aca="false">COUNTIF(FR!$B$4:$B$500,$A10)</f>
        <v>9</v>
      </c>
      <c r="C10" s="19" t="n">
        <f aca="false">COUNTIFS(FR!$B$4:$B$500,$A10,FR!$F$4:$F$500,"Must")</f>
        <v>3</v>
      </c>
      <c r="D10" s="19" t="n">
        <f aca="false">COUNTIFS(FR!$B$4:$B$500,$A10,FR!$F$4:$F$500,"Should")</f>
        <v>4</v>
      </c>
      <c r="E10" s="19" t="n">
        <f aca="false">COUNTIFS(FR!$B$4:$B$500,$A10,FR!$F$4:$F$500,"Could")</f>
        <v>2</v>
      </c>
      <c r="F10" s="19" t="n">
        <f aca="false">COUNTIFS(FR!$B$4:$B$500,$A10,FR!$G$4:$G$500,"&lt;&gt;Backlog")</f>
        <v>3</v>
      </c>
      <c r="G10" s="19" t="n">
        <f aca="false">COUNTIFS(FR!$B$4:$B$500,$A10,FR!$G$4:$G$500,"Backlog")</f>
        <v>6</v>
      </c>
      <c r="H10" s="27" t="n">
        <f aca="false">SUMIFS(FR!$H$4:$H$500,FR!$B$4:$B$500,$A10,FR!$G$4:$G$500,"&lt;&gt;Backlog")</f>
        <v>1</v>
      </c>
      <c r="I10" s="27" t="n">
        <f aca="false">SUMIFS(FR!$I$4:$I$500,FR!$B$4:$B$500,$A10,FR!$G$4:$G$500,"&lt;&gt;Backlog")</f>
        <v>2.25</v>
      </c>
      <c r="J10" s="27" t="n">
        <f aca="false">SUMIFS(FR!$J$4:$J$500,FR!$B$4:$B$500,$A10,FR!$G$4:$G$500,"&lt;&gt;Backlog")</f>
        <v>2</v>
      </c>
      <c r="K10" s="27" t="n">
        <f aca="false">SUMIFS(FR!$K$4:$K$500,FR!$B$4:$B$500,$A10,FR!$G$4:$G$500,"&lt;&gt;Backlog")</f>
        <v>0</v>
      </c>
      <c r="L10" s="27" t="n">
        <f aca="false">SUMIFS(FR!$L$4:$L$500,FR!$B$4:$B$500,$A10,FR!$G$4:$G$500,"&lt;&gt;Backlog")</f>
        <v>1</v>
      </c>
      <c r="M10" s="27" t="n">
        <f aca="false">SUM(H10:L10)</f>
        <v>6.25</v>
      </c>
      <c r="N10" s="27" t="n">
        <f aca="false">SUMIFS(FR!$M$4:$M$500,FR!$B$4:$B$500,$A10,FR!$G$4:$G$500,"Backlog")</f>
        <v>13.9</v>
      </c>
    </row>
    <row r="11" customFormat="false" ht="15" hidden="false" customHeight="false" outlineLevel="0" collapsed="false">
      <c r="A11" s="17" t="s">
        <v>319</v>
      </c>
      <c r="B11" s="19" t="n">
        <f aca="false">COUNTIF(FR!$B$4:$B$500,$A11)</f>
        <v>10</v>
      </c>
      <c r="C11" s="19" t="n">
        <f aca="false">COUNTIFS(FR!$B$4:$B$500,$A11,FR!$F$4:$F$500,"Must")</f>
        <v>5</v>
      </c>
      <c r="D11" s="19" t="n">
        <f aca="false">COUNTIFS(FR!$B$4:$B$500,$A11,FR!$F$4:$F$500,"Should")</f>
        <v>4</v>
      </c>
      <c r="E11" s="19" t="n">
        <f aca="false">COUNTIFS(FR!$B$4:$B$500,$A11,FR!$F$4:$F$500,"Could")</f>
        <v>1</v>
      </c>
      <c r="F11" s="19" t="n">
        <f aca="false">COUNTIFS(FR!$B$4:$B$500,$A11,FR!$G$4:$G$500,"&lt;&gt;Backlog")</f>
        <v>5</v>
      </c>
      <c r="G11" s="19" t="n">
        <f aca="false">COUNTIFS(FR!$B$4:$B$500,$A11,FR!$G$4:$G$500,"Backlog")</f>
        <v>5</v>
      </c>
      <c r="H11" s="27" t="n">
        <f aca="false">SUMIFS(FR!$H$4:$H$500,FR!$B$4:$B$500,$A11,FR!$G$4:$G$500,"&lt;&gt;Backlog")</f>
        <v>1.75</v>
      </c>
      <c r="I11" s="27" t="n">
        <f aca="false">SUMIFS(FR!$I$4:$I$500,FR!$B$4:$B$500,$A11,FR!$G$4:$G$500,"&lt;&gt;Backlog")</f>
        <v>7.5</v>
      </c>
      <c r="J11" s="27" t="n">
        <f aca="false">SUMIFS(FR!$J$4:$J$500,FR!$B$4:$B$500,$A11,FR!$G$4:$G$500,"&lt;&gt;Backlog")</f>
        <v>2.5</v>
      </c>
      <c r="K11" s="27" t="n">
        <f aca="false">SUMIFS(FR!$K$4:$K$500,FR!$B$4:$B$500,$A11,FR!$G$4:$G$500,"&lt;&gt;Backlog")</f>
        <v>0</v>
      </c>
      <c r="L11" s="27" t="n">
        <f aca="false">SUMIFS(FR!$L$4:$L$500,FR!$B$4:$B$500,$A11,FR!$G$4:$G$500,"&lt;&gt;Backlog")</f>
        <v>2.4</v>
      </c>
      <c r="M11" s="27" t="n">
        <f aca="false">SUM(H11:L11)</f>
        <v>14.15</v>
      </c>
      <c r="N11" s="27" t="n">
        <f aca="false">SUMIFS(FR!$M$4:$M$500,FR!$B$4:$B$500,$A11,FR!$G$4:$G$500,"Backlog")</f>
        <v>11</v>
      </c>
    </row>
    <row r="12" customFormat="false" ht="15" hidden="false" customHeight="false" outlineLevel="0" collapsed="false">
      <c r="A12" s="17" t="s">
        <v>354</v>
      </c>
      <c r="B12" s="19" t="n">
        <f aca="false">COUNTIF(FR!$B$4:$B$500,$A12)</f>
        <v>21</v>
      </c>
      <c r="C12" s="19" t="n">
        <f aca="false">COUNTIFS(FR!$B$4:$B$500,$A12,FR!$F$4:$F$500,"Must")</f>
        <v>15</v>
      </c>
      <c r="D12" s="19" t="n">
        <f aca="false">COUNTIFS(FR!$B$4:$B$500,$A12,FR!$F$4:$F$500,"Should")</f>
        <v>4</v>
      </c>
      <c r="E12" s="19" t="n">
        <f aca="false">COUNTIFS(FR!$B$4:$B$500,$A12,FR!$F$4:$F$500,"Could")</f>
        <v>2</v>
      </c>
      <c r="F12" s="19" t="n">
        <f aca="false">COUNTIFS(FR!$B$4:$B$500,$A12,FR!$G$4:$G$500,"&lt;&gt;Backlog")</f>
        <v>15</v>
      </c>
      <c r="G12" s="19" t="n">
        <f aca="false">COUNTIFS(FR!$B$4:$B$500,$A12,FR!$G$4:$G$500,"Backlog")</f>
        <v>6</v>
      </c>
      <c r="H12" s="27" t="n">
        <f aca="false">SUMIFS(FR!$H$4:$H$500,FR!$B$4:$B$500,$A12,FR!$G$4:$G$500,"&lt;&gt;Backlog")</f>
        <v>5.1</v>
      </c>
      <c r="I12" s="27" t="n">
        <f aca="false">SUMIFS(FR!$I$4:$I$500,FR!$B$4:$B$500,$A12,FR!$G$4:$G$500,"&lt;&gt;Backlog")</f>
        <v>9.25</v>
      </c>
      <c r="J12" s="27" t="n">
        <f aca="false">SUMIFS(FR!$J$4:$J$500,FR!$B$4:$B$500,$A12,FR!$G$4:$G$500,"&lt;&gt;Backlog")</f>
        <v>9</v>
      </c>
      <c r="K12" s="27" t="n">
        <f aca="false">SUMIFS(FR!$K$4:$K$500,FR!$B$4:$B$500,$A12,FR!$G$4:$G$500,"&lt;&gt;Backlog")</f>
        <v>17.75</v>
      </c>
      <c r="L12" s="27" t="n">
        <f aca="false">SUMIFS(FR!$L$4:$L$500,FR!$B$4:$B$500,$A12,FR!$G$4:$G$500,"&lt;&gt;Backlog")</f>
        <v>3.7</v>
      </c>
      <c r="M12" s="27" t="n">
        <f aca="false">SUM(H12:L12)</f>
        <v>44.8</v>
      </c>
      <c r="N12" s="27" t="n">
        <f aca="false">SUMIFS(FR!$M$4:$M$500,FR!$B$4:$B$500,$A12,FR!$G$4:$G$500,"Backlog")</f>
        <v>17.5</v>
      </c>
    </row>
    <row r="13" customFormat="false" ht="15" hidden="false" customHeight="false" outlineLevel="0" collapsed="false">
      <c r="A13" s="17" t="s">
        <v>429</v>
      </c>
      <c r="B13" s="19" t="n">
        <f aca="false">COUNTIF(FR!$B$4:$B$500,$A13)</f>
        <v>4</v>
      </c>
      <c r="C13" s="19" t="n">
        <f aca="false">COUNTIFS(FR!$B$4:$B$500,$A13,FR!$F$4:$F$500,"Must")</f>
        <v>1</v>
      </c>
      <c r="D13" s="19" t="n">
        <f aca="false">COUNTIFS(FR!$B$4:$B$500,$A13,FR!$F$4:$F$500,"Should")</f>
        <v>2</v>
      </c>
      <c r="E13" s="19" t="n">
        <f aca="false">COUNTIFS(FR!$B$4:$B$500,$A13,FR!$F$4:$F$500,"Could")</f>
        <v>1</v>
      </c>
      <c r="F13" s="19" t="n">
        <f aca="false">COUNTIFS(FR!$B$4:$B$500,$A13,FR!$G$4:$G$500,"&lt;&gt;Backlog")</f>
        <v>1</v>
      </c>
      <c r="G13" s="19" t="n">
        <f aca="false">COUNTIFS(FR!$B$4:$B$500,$A13,FR!$G$4:$G$500,"Backlog")</f>
        <v>3</v>
      </c>
      <c r="H13" s="27" t="n">
        <f aca="false">SUMIFS(FR!$H$4:$H$500,FR!$B$4:$B$500,$A13,FR!$G$4:$G$500,"&lt;&gt;Backlog")</f>
        <v>0.1</v>
      </c>
      <c r="I13" s="27" t="n">
        <f aca="false">SUMIFS(FR!$I$4:$I$500,FR!$B$4:$B$500,$A13,FR!$G$4:$G$500,"&lt;&gt;Backlog")</f>
        <v>0.75</v>
      </c>
      <c r="J13" s="27" t="n">
        <f aca="false">SUMIFS(FR!$J$4:$J$500,FR!$B$4:$B$500,$A13,FR!$G$4:$G$500,"&lt;&gt;Backlog")</f>
        <v>0.25</v>
      </c>
      <c r="K13" s="27" t="n">
        <f aca="false">SUMIFS(FR!$K$4:$K$500,FR!$B$4:$B$500,$A13,FR!$G$4:$G$500,"&lt;&gt;Backlog")</f>
        <v>0</v>
      </c>
      <c r="L13" s="27" t="n">
        <f aca="false">SUMIFS(FR!$L$4:$L$500,FR!$B$4:$B$500,$A13,FR!$G$4:$G$500,"&lt;&gt;Backlog")</f>
        <v>0.1</v>
      </c>
      <c r="M13" s="27" t="n">
        <f aca="false">SUM(H13:L13)</f>
        <v>1.2</v>
      </c>
      <c r="N13" s="27" t="n">
        <f aca="false">SUMIFS(FR!$M$4:$M$500,FR!$B$4:$B$500,$A13,FR!$G$4:$G$500,"Backlog")</f>
        <v>2.85</v>
      </c>
    </row>
    <row r="14" customFormat="false" ht="15" hidden="false" customHeight="false" outlineLevel="0" collapsed="false">
      <c r="A14" s="17" t="s">
        <v>443</v>
      </c>
      <c r="B14" s="19" t="n">
        <f aca="false">COUNTIF(FR!$B$4:$B$500,$A14)</f>
        <v>4</v>
      </c>
      <c r="C14" s="19" t="n">
        <f aca="false">COUNTIFS(FR!$B$4:$B$500,$A14,FR!$F$4:$F$500,"Must")</f>
        <v>2</v>
      </c>
      <c r="D14" s="19" t="n">
        <f aca="false">COUNTIFS(FR!$B$4:$B$500,$A14,FR!$F$4:$F$500,"Should")</f>
        <v>1</v>
      </c>
      <c r="E14" s="19" t="n">
        <f aca="false">COUNTIFS(FR!$B$4:$B$500,$A14,FR!$F$4:$F$500,"Could")</f>
        <v>1</v>
      </c>
      <c r="F14" s="19" t="n">
        <f aca="false">COUNTIFS(FR!$B$4:$B$500,$A14,FR!$G$4:$G$500,"&lt;&gt;Backlog")</f>
        <v>2</v>
      </c>
      <c r="G14" s="19" t="n">
        <f aca="false">COUNTIFS(FR!$B$4:$B$500,$A14,FR!$G$4:$G$500,"Backlog")</f>
        <v>2</v>
      </c>
      <c r="H14" s="27" t="n">
        <f aca="false">SUMIFS(FR!$H$4:$H$500,FR!$B$4:$B$500,$A14,FR!$G$4:$G$500,"&lt;&gt;Backlog")</f>
        <v>0.35</v>
      </c>
      <c r="I14" s="27" t="n">
        <f aca="false">SUMIFS(FR!$I$4:$I$500,FR!$B$4:$B$500,$A14,FR!$G$4:$G$500,"&lt;&gt;Backlog")</f>
        <v>2</v>
      </c>
      <c r="J14" s="27" t="n">
        <f aca="false">SUMIFS(FR!$J$4:$J$500,FR!$B$4:$B$500,$A14,FR!$G$4:$G$500,"&lt;&gt;Backlog")</f>
        <v>1.75</v>
      </c>
      <c r="K14" s="27" t="n">
        <f aca="false">SUMIFS(FR!$K$4:$K$500,FR!$B$4:$B$500,$A14,FR!$G$4:$G$500,"&lt;&gt;Backlog")</f>
        <v>0</v>
      </c>
      <c r="L14" s="27" t="n">
        <f aca="false">SUMIFS(FR!$L$4:$L$500,FR!$B$4:$B$500,$A14,FR!$G$4:$G$500,"&lt;&gt;Backlog")</f>
        <v>0.4</v>
      </c>
      <c r="M14" s="27" t="n">
        <f aca="false">SUM(H14:L14)</f>
        <v>4.5</v>
      </c>
      <c r="N14" s="27" t="n">
        <f aca="false">SUMIFS(FR!$M$4:$M$500,FR!$B$4:$B$500,$A14,FR!$G$4:$G$500,"Backlog")</f>
        <v>2.9</v>
      </c>
    </row>
    <row r="15" customFormat="false" ht="15" hidden="false" customHeight="false" outlineLevel="0" collapsed="false">
      <c r="A15" s="33" t="s">
        <v>635</v>
      </c>
      <c r="B15" s="29" t="n">
        <f aca="false">SUM(B4:B14)</f>
        <v>95</v>
      </c>
      <c r="C15" s="29" t="n">
        <f aca="false">SUM(C4:C14)</f>
        <v>52</v>
      </c>
      <c r="D15" s="29" t="n">
        <f aca="false">SUM(D4:D14)</f>
        <v>28</v>
      </c>
      <c r="E15" s="29" t="n">
        <f aca="false">SUM(E4:E14)</f>
        <v>15</v>
      </c>
      <c r="F15" s="29" t="n">
        <f aca="false">SUM(F4:F14)</f>
        <v>53</v>
      </c>
      <c r="G15" s="29" t="n">
        <f aca="false">SUM(G4:G14)</f>
        <v>42</v>
      </c>
      <c r="H15" s="31" t="n">
        <f aca="false">SUM(H4:H14)</f>
        <v>20.55</v>
      </c>
      <c r="I15" s="31" t="n">
        <f aca="false">SUM(I4:I14)</f>
        <v>45.5</v>
      </c>
      <c r="J15" s="31" t="n">
        <f aca="false">SUM(J4:J14)</f>
        <v>36.5</v>
      </c>
      <c r="K15" s="31" t="n">
        <f aca="false">SUM(K4:K14)</f>
        <v>19</v>
      </c>
      <c r="L15" s="31" t="n">
        <f aca="false">SUM(L4:L14)</f>
        <v>17.4</v>
      </c>
      <c r="M15" s="31" t="n">
        <f aca="false">SUM(M4:M14)</f>
        <v>138.95</v>
      </c>
      <c r="N15" s="31" t="n">
        <f aca="false">SUM(N4:N14)</f>
        <v>85.9</v>
      </c>
    </row>
    <row r="17" customFormat="false" ht="15" hidden="false" customHeight="false" outlineLevel="0" collapsed="false">
      <c r="A17" s="6" t="s">
        <v>636</v>
      </c>
    </row>
    <row r="18" customFormat="false" ht="15" hidden="false" customHeight="false" outlineLevel="0" collapsed="false">
      <c r="A18" s="34" t="s">
        <v>633</v>
      </c>
      <c r="B18" s="35" t="n">
        <f aca="false">M15</f>
        <v>138.95</v>
      </c>
    </row>
    <row r="19" customFormat="false" ht="15" hidden="false" customHeight="false" outlineLevel="0" collapsed="false">
      <c r="A19" s="34" t="s">
        <v>637</v>
      </c>
      <c r="B19" s="36" t="str">
        <f aca="false">IF('Tổng quan'!$C$24="","",'Tổng quan'!$C$24)</f>
        <v/>
      </c>
    </row>
    <row r="20" customFormat="false" ht="15" hidden="false" customHeight="false" outlineLevel="0" collapsed="false">
      <c r="A20" s="6" t="s">
        <v>638</v>
      </c>
      <c r="B20" s="37" t="str">
        <f aca="false">IF(B19="","Chưa nhập đơn giá",B18*B19)</f>
        <v>Chưa nhập đơn giá</v>
      </c>
    </row>
    <row r="21" customFormat="false" ht="15" hidden="false" customHeight="false" outlineLevel="0" collapsed="false">
      <c r="A21" s="6" t="s">
        <v>639</v>
      </c>
      <c r="B21" s="37" t="str">
        <f aca="false">IF(B19="","Chưa nhập đơn giá",N15*B19)</f>
        <v>Chưa nhập đơn giá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2937"/>
    <pageSetUpPr fitToPage="false"/>
  </sheetPr>
  <dimension ref="A1:F27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52"/>
    <col collapsed="false" customWidth="true" hidden="false" outlineLevel="0" max="3" min="3" style="0" width="48"/>
    <col collapsed="false" customWidth="true" hidden="false" outlineLevel="0" max="4" min="4" style="0" width="44"/>
    <col collapsed="false" customWidth="true" hidden="false" outlineLevel="0" max="5" min="5" style="0" width="30"/>
    <col collapsed="false" customWidth="true" hidden="false" outlineLevel="0" max="6" min="6" style="0" width="20"/>
  </cols>
  <sheetData>
    <row r="1" customFormat="false" ht="17.35" hidden="false" customHeight="false" outlineLevel="0" collapsed="false">
      <c r="A1" s="1" t="s">
        <v>640</v>
      </c>
    </row>
    <row r="3" customFormat="false" ht="31.5" hidden="false" customHeight="true" outlineLevel="0" collapsed="false">
      <c r="A3" s="16" t="s">
        <v>641</v>
      </c>
      <c r="B3" s="16" t="s">
        <v>642</v>
      </c>
      <c r="C3" s="16" t="s">
        <v>643</v>
      </c>
      <c r="D3" s="16" t="s">
        <v>644</v>
      </c>
      <c r="E3" s="16" t="s">
        <v>645</v>
      </c>
      <c r="F3" s="16" t="s">
        <v>646</v>
      </c>
    </row>
    <row r="4" customFormat="false" ht="23.85" hidden="false" customHeight="false" outlineLevel="0" collapsed="false">
      <c r="A4" s="25" t="n">
        <v>1</v>
      </c>
      <c r="B4" s="18" t="s">
        <v>647</v>
      </c>
      <c r="C4" s="18" t="s">
        <v>648</v>
      </c>
      <c r="D4" s="18" t="s">
        <v>649</v>
      </c>
      <c r="E4" s="38"/>
      <c r="F4" s="18" t="s">
        <v>650</v>
      </c>
    </row>
    <row r="5" customFormat="false" ht="23.85" hidden="false" customHeight="false" outlineLevel="0" collapsed="false">
      <c r="A5" s="25" t="n">
        <v>2</v>
      </c>
      <c r="B5" s="18" t="s">
        <v>651</v>
      </c>
      <c r="C5" s="18" t="s">
        <v>652</v>
      </c>
      <c r="D5" s="18" t="s">
        <v>653</v>
      </c>
      <c r="E5" s="38"/>
      <c r="F5" s="18" t="s">
        <v>654</v>
      </c>
    </row>
    <row r="6" customFormat="false" ht="23.85" hidden="false" customHeight="false" outlineLevel="0" collapsed="false">
      <c r="A6" s="25" t="n">
        <v>3</v>
      </c>
      <c r="B6" s="18" t="s">
        <v>655</v>
      </c>
      <c r="C6" s="18" t="s">
        <v>656</v>
      </c>
      <c r="D6" s="18" t="s">
        <v>657</v>
      </c>
      <c r="E6" s="38"/>
      <c r="F6" s="18" t="s">
        <v>408</v>
      </c>
    </row>
    <row r="7" customFormat="false" ht="23.85" hidden="false" customHeight="false" outlineLevel="0" collapsed="false">
      <c r="A7" s="25" t="n">
        <v>4</v>
      </c>
      <c r="B7" s="18" t="s">
        <v>658</v>
      </c>
      <c r="C7" s="18" t="s">
        <v>659</v>
      </c>
      <c r="D7" s="18" t="s">
        <v>660</v>
      </c>
      <c r="E7" s="38"/>
      <c r="F7" s="18" t="s">
        <v>661</v>
      </c>
    </row>
    <row r="8" customFormat="false" ht="23.85" hidden="false" customHeight="false" outlineLevel="0" collapsed="false">
      <c r="A8" s="25" t="n">
        <v>5</v>
      </c>
      <c r="B8" s="18" t="s">
        <v>662</v>
      </c>
      <c r="C8" s="18" t="s">
        <v>663</v>
      </c>
      <c r="D8" s="18" t="s">
        <v>664</v>
      </c>
      <c r="E8" s="38"/>
      <c r="F8" s="18" t="s">
        <v>665</v>
      </c>
    </row>
    <row r="9" customFormat="false" ht="23.85" hidden="false" customHeight="false" outlineLevel="0" collapsed="false">
      <c r="A9" s="25" t="n">
        <v>6</v>
      </c>
      <c r="B9" s="18" t="s">
        <v>666</v>
      </c>
      <c r="C9" s="18" t="s">
        <v>667</v>
      </c>
      <c r="D9" s="18" t="s">
        <v>668</v>
      </c>
      <c r="E9" s="38"/>
      <c r="F9" s="18" t="s">
        <v>669</v>
      </c>
    </row>
    <row r="10" customFormat="false" ht="15" hidden="false" customHeight="false" outlineLevel="0" collapsed="false">
      <c r="A10" s="25" t="n">
        <v>7</v>
      </c>
      <c r="B10" s="18" t="s">
        <v>670</v>
      </c>
      <c r="C10" s="18" t="s">
        <v>671</v>
      </c>
      <c r="D10" s="18" t="s">
        <v>672</v>
      </c>
      <c r="E10" s="38"/>
      <c r="F10" s="18" t="s">
        <v>673</v>
      </c>
    </row>
    <row r="11" customFormat="false" ht="23.85" hidden="false" customHeight="false" outlineLevel="0" collapsed="false">
      <c r="A11" s="25" t="n">
        <v>8</v>
      </c>
      <c r="B11" s="18" t="s">
        <v>674</v>
      </c>
      <c r="C11" s="18" t="s">
        <v>675</v>
      </c>
      <c r="D11" s="18" t="s">
        <v>676</v>
      </c>
      <c r="E11" s="38"/>
      <c r="F11" s="18" t="s">
        <v>244</v>
      </c>
    </row>
    <row r="12" customFormat="false" ht="15" hidden="false" customHeight="false" outlineLevel="0" collapsed="false">
      <c r="A12" s="25" t="n">
        <v>9</v>
      </c>
      <c r="B12" s="18" t="s">
        <v>677</v>
      </c>
      <c r="C12" s="18" t="s">
        <v>678</v>
      </c>
      <c r="D12" s="18" t="s">
        <v>679</v>
      </c>
      <c r="E12" s="38"/>
      <c r="F12" s="18" t="s">
        <v>680</v>
      </c>
    </row>
    <row r="13" customFormat="false" ht="15" hidden="false" customHeight="false" outlineLevel="0" collapsed="false">
      <c r="A13" s="25" t="n">
        <v>10</v>
      </c>
      <c r="B13" s="18" t="s">
        <v>681</v>
      </c>
      <c r="C13" s="18" t="s">
        <v>682</v>
      </c>
      <c r="D13" s="18" t="s">
        <v>683</v>
      </c>
      <c r="E13" s="38"/>
      <c r="F13" s="18" t="s">
        <v>112</v>
      </c>
    </row>
    <row r="14" customFormat="false" ht="15" hidden="false" customHeight="false" outlineLevel="0" collapsed="false">
      <c r="A14" s="25" t="n">
        <v>11</v>
      </c>
      <c r="B14" s="18" t="s">
        <v>684</v>
      </c>
      <c r="C14" s="18" t="s">
        <v>685</v>
      </c>
      <c r="D14" s="18" t="s">
        <v>686</v>
      </c>
      <c r="E14" s="38"/>
      <c r="F14" s="18" t="s">
        <v>687</v>
      </c>
    </row>
    <row r="15" customFormat="false" ht="15" hidden="false" customHeight="false" outlineLevel="0" collapsed="false">
      <c r="A15" s="25" t="n">
        <v>12</v>
      </c>
      <c r="B15" s="18" t="s">
        <v>688</v>
      </c>
      <c r="C15" s="18" t="s">
        <v>689</v>
      </c>
      <c r="D15" s="18" t="s">
        <v>690</v>
      </c>
      <c r="E15" s="38"/>
      <c r="F15" s="18" t="s">
        <v>691</v>
      </c>
    </row>
    <row r="16" customFormat="false" ht="15" hidden="false" customHeight="false" outlineLevel="0" collapsed="false">
      <c r="A16" s="25" t="n">
        <v>13</v>
      </c>
      <c r="B16" s="18" t="s">
        <v>692</v>
      </c>
      <c r="C16" s="18" t="s">
        <v>693</v>
      </c>
      <c r="D16" s="18" t="s">
        <v>694</v>
      </c>
      <c r="E16" s="38"/>
      <c r="F16" s="18" t="s">
        <v>695</v>
      </c>
    </row>
    <row r="18" customFormat="false" ht="15" hidden="false" customHeight="false" outlineLevel="0" collapsed="false">
      <c r="A18" s="39" t="s">
        <v>696</v>
      </c>
    </row>
    <row r="19" customFormat="false" ht="31.5" hidden="false" customHeight="true" outlineLevel="0" collapsed="false">
      <c r="A19" s="16" t="s">
        <v>641</v>
      </c>
      <c r="B19" s="16" t="s">
        <v>697</v>
      </c>
      <c r="C19" s="16" t="s">
        <v>698</v>
      </c>
      <c r="D19" s="16" t="s">
        <v>699</v>
      </c>
      <c r="E19" s="16" t="s">
        <v>700</v>
      </c>
      <c r="F19" s="16" t="s">
        <v>701</v>
      </c>
    </row>
    <row r="20" customFormat="false" ht="23.85" hidden="false" customHeight="false" outlineLevel="0" collapsed="false">
      <c r="A20" s="25" t="n">
        <v>1</v>
      </c>
      <c r="B20" s="18" t="s">
        <v>702</v>
      </c>
      <c r="C20" s="18" t="s">
        <v>703</v>
      </c>
      <c r="D20" s="18" t="s">
        <v>704</v>
      </c>
      <c r="E20" s="19" t="s">
        <v>705</v>
      </c>
      <c r="F20" s="18" t="s">
        <v>706</v>
      </c>
    </row>
    <row r="21" customFormat="false" ht="23.85" hidden="false" customHeight="false" outlineLevel="0" collapsed="false">
      <c r="A21" s="25" t="n">
        <v>2</v>
      </c>
      <c r="B21" s="18" t="s">
        <v>707</v>
      </c>
      <c r="C21" s="18" t="s">
        <v>708</v>
      </c>
      <c r="D21" s="18" t="s">
        <v>709</v>
      </c>
      <c r="E21" s="19" t="s">
        <v>705</v>
      </c>
      <c r="F21" s="18" t="s">
        <v>710</v>
      </c>
    </row>
    <row r="22" customFormat="false" ht="15" hidden="false" customHeight="false" outlineLevel="0" collapsed="false">
      <c r="A22" s="25" t="n">
        <v>3</v>
      </c>
      <c r="B22" s="18" t="s">
        <v>711</v>
      </c>
      <c r="C22" s="18" t="s">
        <v>712</v>
      </c>
      <c r="D22" s="18" t="s">
        <v>713</v>
      </c>
      <c r="E22" s="19" t="s">
        <v>714</v>
      </c>
      <c r="F22" s="18" t="s">
        <v>715</v>
      </c>
    </row>
    <row r="23" customFormat="false" ht="15" hidden="false" customHeight="false" outlineLevel="0" collapsed="false">
      <c r="A23" s="25" t="n">
        <v>4</v>
      </c>
      <c r="B23" s="18" t="s">
        <v>716</v>
      </c>
      <c r="C23" s="18" t="s">
        <v>717</v>
      </c>
      <c r="D23" s="18" t="s">
        <v>718</v>
      </c>
      <c r="E23" s="19" t="s">
        <v>705</v>
      </c>
      <c r="F23" s="18" t="s">
        <v>719</v>
      </c>
    </row>
    <row r="24" customFormat="false" ht="15" hidden="false" customHeight="false" outlineLevel="0" collapsed="false">
      <c r="A24" s="25" t="n">
        <v>5</v>
      </c>
      <c r="B24" s="18" t="s">
        <v>720</v>
      </c>
      <c r="C24" s="18" t="s">
        <v>721</v>
      </c>
      <c r="D24" s="18" t="s">
        <v>722</v>
      </c>
      <c r="E24" s="19" t="s">
        <v>705</v>
      </c>
      <c r="F24" s="18" t="s">
        <v>723</v>
      </c>
    </row>
    <row r="25" customFormat="false" ht="23.85" hidden="false" customHeight="false" outlineLevel="0" collapsed="false">
      <c r="A25" s="25" t="n">
        <v>6</v>
      </c>
      <c r="B25" s="18" t="s">
        <v>724</v>
      </c>
      <c r="C25" s="18" t="s">
        <v>725</v>
      </c>
      <c r="D25" s="18" t="s">
        <v>726</v>
      </c>
      <c r="E25" s="19" t="s">
        <v>705</v>
      </c>
      <c r="F25" s="18" t="s">
        <v>727</v>
      </c>
    </row>
    <row r="26" customFormat="false" ht="15" hidden="false" customHeight="false" outlineLevel="0" collapsed="false">
      <c r="A26" s="25" t="n">
        <v>7</v>
      </c>
      <c r="B26" s="18" t="s">
        <v>728</v>
      </c>
      <c r="C26" s="18" t="s">
        <v>729</v>
      </c>
      <c r="D26" s="18" t="s">
        <v>730</v>
      </c>
      <c r="E26" s="19" t="s">
        <v>714</v>
      </c>
      <c r="F26" s="18" t="s">
        <v>59</v>
      </c>
    </row>
    <row r="27" customFormat="false" ht="15" hidden="false" customHeight="false" outlineLevel="0" collapsed="false">
      <c r="A27" s="25" t="n">
        <v>8</v>
      </c>
      <c r="B27" s="18" t="s">
        <v>731</v>
      </c>
      <c r="C27" s="18" t="s">
        <v>732</v>
      </c>
      <c r="D27" s="18" t="s">
        <v>733</v>
      </c>
      <c r="E27" s="19" t="s">
        <v>714</v>
      </c>
      <c r="F27" s="18" t="s">
        <v>734</v>
      </c>
    </row>
  </sheetData>
  <conditionalFormatting sqref="E20:E27">
    <cfRule type="cellIs" priority="2" operator="equal" aboveAverage="0" equalAverage="0" bottom="0" percent="0" rank="0" text="" dxfId="13">
      <formula>"Cao"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2026-09-29T14:51:50Z</dcterms:created>
  <dc:creator>openpyxl</dc:creator>
  <dc:description/>
  <dc:language>en-US</dc:language>
  <cp:lastModifiedBy/>
  <dcterms:modified xsi:type="dcterms:W3CDTF">2026-09-29T14:51:50Z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